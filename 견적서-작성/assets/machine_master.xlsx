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006K14G\.claude\skills\견적서-작성\assets\"/>
    </mc:Choice>
  </mc:AlternateContent>
  <xr:revisionPtr revIDLastSave="0" documentId="13_ncr:1_{B5951C9A-B627-4D2A-97E5-6D66728201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ation  (2)" sheetId="1" r:id="rId1"/>
  </sheets>
  <definedNames>
    <definedName name="_xlnm.Print_Area" localSheetId="0">'quotation  (2)'!$A$1:$X$112</definedName>
    <definedName name="_xlnm.Print_Titles" localSheetId="0">'quotation  (2)'!$1:$4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4" i="1" l="1"/>
  <c r="W28" i="1"/>
  <c r="W37" i="1" s="1"/>
</calcChain>
</file>

<file path=xl/sharedStrings.xml><?xml version="1.0" encoding="utf-8"?>
<sst xmlns="http://schemas.openxmlformats.org/spreadsheetml/2006/main" count="96" uniqueCount="79">
  <si>
    <t>Ref. No.:{{REF_NO}}</t>
  </si>
  <si>
    <t>Date: {{DATE}}</t>
  </si>
  <si>
    <t>QUOTATION</t>
  </si>
  <si>
    <t>Messrs: {{CUSTOMER}}</t>
  </si>
  <si>
    <t>Subject: {{SUBJECT}}</t>
  </si>
  <si>
    <t>Dear Sirs,</t>
  </si>
  <si>
    <t>We're pleased to offer our proposal for {{SUBJECT}} as follows,</t>
  </si>
  <si>
    <t>1. Price</t>
  </si>
  <si>
    <t>(1)</t>
  </si>
  <si>
    <t xml:space="preserve"> {{SUBJECT}}</t>
  </si>
  <si>
    <t>1)</t>
  </si>
  <si>
    <t>Equipment + Recommended Spare parts</t>
  </si>
  <si>
    <t>Items</t>
  </si>
  <si>
    <t>EA</t>
  </si>
  <si>
    <t>Price/EA(JPY)</t>
  </si>
  <si>
    <t>Price(JPY)</t>
  </si>
  <si>
    <t>{{EQ1_DESC}}</t>
  </si>
  <si>
    <t>{{EQ2_DESC}}  (delete row if unused)</t>
  </si>
  <si>
    <t>{{EQ3_DESC}}  (delete row if unused)</t>
  </si>
  <si>
    <t>{{EQ4_DESC}}  (delete row if unused)</t>
  </si>
  <si>
    <t>Sub Total</t>
  </si>
  <si>
    <t>* Please refer to the Proposal Specification ({{SPEC_NO}}) for the details</t>
  </si>
  <si>
    <t>2)</t>
  </si>
  <si>
    <t>Supervising Service</t>
  </si>
  <si>
    <t>MDs</t>
  </si>
  <si>
    <t>Price/MD(JPY)</t>
  </si>
  <si>
    <t>SV dispatch</t>
  </si>
  <si>
    <t>3)</t>
  </si>
  <si>
    <t>Total( 1 + 2 )</t>
  </si>
  <si>
    <t>(2)</t>
  </si>
  <si>
    <t>Conditions of dispatching our Supervising Service</t>
  </si>
  <si>
    <t>In case overtime work beyond the above working conditions, the overtime fee shall be paid in accordance</t>
  </si>
  <si>
    <t>with the following rate;</t>
  </si>
  <si>
    <t>For Monday to Saturday until 10pm: JPY35,000 / hour / personnel,</t>
  </si>
  <si>
    <t>For Monday to Saturday from 10pm: JPY42,000 / hour / personnel,</t>
  </si>
  <si>
    <t>For Sunday and holiday from 8am until 5pm: JPY42,000 / hour / personnel.</t>
  </si>
  <si>
    <t>For Sunday and holiday from 5pm until 10pm: JPY49,000 / hour / personnel,</t>
  </si>
  <si>
    <t>For Sunday and holiday from 10pm: JPY55,000 / hour / personnel.</t>
  </si>
  <si>
    <t>Translator shall be prepared by {{CUSTOMER_SHORT}}, if necessary.</t>
  </si>
  <si>
    <t xml:space="preserve">Scope of supply: </t>
  </si>
  <si>
    <t>Please see attached our Proposal Specification ({{SPEC_NO}})</t>
  </si>
  <si>
    <t>2. Terms of Payment</t>
  </si>
  <si>
    <t>Equipment</t>
  </si>
  <si>
    <t>{{PAY_ADV_PCT}}% of the total price shall be paid by T/T within (30) days as for Advance Payment against our invoice after the contract.</t>
  </si>
  <si>
    <t>(3)</t>
  </si>
  <si>
    <t>Supervising Services</t>
  </si>
  <si>
    <t>50% of Supervisory Services price shall be paid by T/T within (30) days of receiving Seller’s Invoice with report showing 50% of man-days used.</t>
  </si>
  <si>
    <t>Remaining 50% shall be paid by T/T within (30) days of receiving invoice with report showing all contract man-days used.</t>
  </si>
  <si>
    <t>3. Time of Delivery</t>
  </si>
  <si>
    <t>{{DELIVERY_MONTHS}} months on FOB/FCA basis become effective upon the Seller’s receipt of the down payment.</t>
  </si>
  <si>
    <t>4. Terms of Delivery</t>
  </si>
  <si>
    <t>FOB / FCA international seaport / airport in accordance with INCOTERMS 2020.</t>
  </si>
  <si>
    <t>5. General conditions</t>
  </si>
  <si>
    <t>Any supplies and services not explicitly stipulated in the scope are excluded from Seller’s scope.</t>
  </si>
  <si>
    <t>Furthermore, the following conditions shall apply, if not otherwise stipulated here:</t>
  </si>
  <si>
    <t>“Sales-Conditions-Primetals-Technologies-Group_2024-03-01.pdf”</t>
  </si>
  <si>
    <t>6. Guarantee Period</t>
  </si>
  <si>
    <t>Guarantee Period is 12months from the date of Final Acceptance Certificate,</t>
  </si>
  <si>
    <t xml:space="preserve">or 22 months after FOB/FCA date, whichever comes earlier. </t>
  </si>
  <si>
    <t>7. Validity</t>
  </si>
  <si>
    <t>This quotation shall be valid until {{VALIDITY_DATE}}.</t>
  </si>
  <si>
    <t>After the above validity, price and delivery schedule is subject to be changed and shall be re-quoted.</t>
  </si>
  <si>
    <t>8. Other Conditions</t>
  </si>
  <si>
    <t>If the conflict occurs between the above terms and attached “Sales-Conditions-Primetals-Technologies</t>
  </si>
  <si>
    <t>-Group_2024-03-01)”, the above terms shall govern.</t>
  </si>
  <si>
    <t>We hope the above quotation will meet your requirement.</t>
  </si>
  <si>
    <t>Sincerely yours,</t>
  </si>
  <si>
    <t>Primetals Technologies Japan, Ltd.</t>
  </si>
  <si>
    <t>Kurata, Kazuyuki</t>
  </si>
  <si>
    <t>Head</t>
  </si>
  <si>
    <t>Business Development Department No.2</t>
  </si>
  <si>
    <t>Attachement:</t>
  </si>
  <si>
    <t>Sales-Conditions-Primetals-Technologies-Group_2024-03-01</t>
  </si>
  <si>
    <t>Proposal Specification ({{SPEC_NO}})</t>
  </si>
  <si>
    <t>The above Supervising fee is based on the working condition of 6 working days per week (Monday to Saturday), 8 working hours per day from 08:00 to 17:00 (including 1 hour lunch break). Man-days are counted on a calendar basis (CMD). Travel days are counted as man-days; for travel to / from Japan, one-way travel is counted as one (1) day.</t>
    <phoneticPr fontId="2"/>
  </si>
  <si>
    <t>{{PAY_LC_PCT}}% of the total price shall be paid by the way of an irrevocable letter of credit (L/C) issued by the</t>
    <phoneticPr fontId="2"/>
  </si>
  <si>
    <t>customer’s Bank in favor of the Seller within (90) days after contract.</t>
    <phoneticPr fontId="2"/>
  </si>
  <si>
    <t>{{PAY_FINAL_PCT}}% of the total price shall be paid by T/T within (30) days after the Buyer’s receipt of the Seller’s</t>
    <phoneticPr fontId="2"/>
  </si>
  <si>
    <t>invoice, Final Acceptance Certificate issued by Buyer.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</si>
</sst>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[$-409]mmmm\ d\,\ yyyy;@"/>
    <numFmt numFmtId="177" formatCode="[$JPY]\ #,##0;[$JPY]\ \-#,##0"/>
    <numFmt numFmtId="178" formatCode="[$JPY]\ #,##0_);[Red]\([$JPY]\ #,##0\)"/>
    <numFmt numFmtId="179" formatCode="#,##0_ ;[Red]\-#,##0\ "/>
    <numFmt numFmtId="180" formatCode="[$¥-411]#,##0;[Red]\-[$¥-411]#,##0"/>
    <numFmt numFmtId="181" formatCode="#,##0.00_);[Red]\(#,##0.00\)"/>
    <numFmt numFmtId="182" formatCode="#,##0&quot; months&quot;;&quot;△&quot;#,##0&quot; months&quot;"/>
    <numFmt numFmtId="183" formatCode="[$JPY]\ #,##0;[Red][$JPY]\ \-#,##0"/>
    <numFmt numFmtId="184" formatCode="#,##0_);[Red]\(#,##0\)"/>
    <numFmt numFmtId="185" formatCode="&quot;US$&quot;#,##0.00;\-&quot;US$&quot;#,##0.00"/>
    <numFmt numFmtId="186" formatCode="&quot;¥&quot;#,##0;[Red]&quot;¥&quot;\-#,##0"/>
    <numFmt numFmtId="187" formatCode="#,##0;\-#,##0;&quot;-&quot;"/>
    <numFmt numFmtId="188" formatCode="#,##0\ \ \x"/>
    <numFmt numFmtId="189" formatCode="#,##0\-;&quot;▲&quot;#,##0\-"/>
    <numFmt numFmtId="190" formatCode="0.00000_ "/>
    <numFmt numFmtId="191" formatCode="_ * #,##0.0_ ;_ * \-#,##0.0_ ;_ * &quot;-&quot;?_ ;_ @_ "/>
    <numFmt numFmtId="192" formatCode="&quot;¥&quot;#,##0\-;&quot;¥&quot;&quot;▲&quot;#,##0\-"/>
  </numFmts>
  <fonts count="36">
    <font>
      <sz val="11"/>
      <color theme="1"/>
      <name val="Arial"/>
      <family val="2"/>
      <charset val="128"/>
    </font>
    <font>
      <sz val="11"/>
      <name val="ＭＳ Ｐゴシック"/>
      <family val="3"/>
      <charset val="128"/>
    </font>
    <font>
      <sz val="6"/>
      <name val="Arial"/>
      <family val="2"/>
      <charset val="128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9"/>
      <name val="Times New Roman"/>
      <family val="1"/>
    </font>
    <font>
      <sz val="8"/>
      <name val="Arial"/>
      <family val="2"/>
    </font>
    <font>
      <sz val="12"/>
      <name val="ＭＳ 明朝"/>
      <family val="1"/>
      <charset val="128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9"/>
      <name val="Times New Roman"/>
      <family val="1"/>
    </font>
    <font>
      <sz val="14"/>
      <name val="ＭＳ 明朝"/>
      <family val="1"/>
      <charset val="128"/>
    </font>
    <font>
      <sz val="10"/>
      <name val="明朝"/>
      <family val="1"/>
      <charset val="128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sz val="11"/>
      <name val="ＭＳ 明朝"/>
      <family val="1"/>
      <charset val="128"/>
    </font>
    <font>
      <sz val="10"/>
      <name val="ＭＳ Ｐゴシック"/>
      <family val="3"/>
      <charset val="128"/>
    </font>
    <font>
      <sz val="11"/>
      <name val="돋움"/>
      <family val="2"/>
      <charset val="129"/>
    </font>
    <font>
      <sz val="10"/>
      <name val="굴림체"/>
      <family val="3"/>
      <charset val="129"/>
    </font>
    <font>
      <b/>
      <sz val="11"/>
      <name val="Calibri"/>
      <family val="2"/>
    </font>
    <font>
      <sz val="11"/>
      <name val="ＭＳ Ｐ明朝"/>
      <family val="1"/>
      <charset val="128"/>
    </font>
    <font>
      <b/>
      <sz val="11"/>
      <name val="Arial"/>
      <family val="2"/>
    </font>
    <font>
      <u/>
      <sz val="11"/>
      <name val="Arial"/>
      <family val="2"/>
    </font>
    <font>
      <b/>
      <u/>
      <sz val="11"/>
      <name val="Arial"/>
      <family val="2"/>
    </font>
    <font>
      <b/>
      <sz val="20"/>
      <name val="Arial"/>
      <family val="2"/>
    </font>
    <font>
      <b/>
      <u/>
      <sz val="14"/>
      <name val="Arial"/>
      <family val="2"/>
    </font>
    <font>
      <sz val="12"/>
      <name val="宋体"/>
      <family val="3"/>
      <charset val="128"/>
    </font>
    <font>
      <sz val="12"/>
      <name val="Arial"/>
      <family val="2"/>
    </font>
    <font>
      <sz val="11"/>
      <color theme="1"/>
      <name val="Arial"/>
      <family val="2"/>
      <charset val="128"/>
    </font>
    <font>
      <sz val="10.5"/>
      <name val="Arial"/>
      <family val="2"/>
    </font>
    <font>
      <sz val="11"/>
      <color rgb="FF0070C0"/>
      <name val="Arial"/>
      <family val="2"/>
    </font>
    <font>
      <sz val="9"/>
      <name val="Arial"/>
      <family val="2"/>
    </font>
    <font>
      <strike/>
      <sz val="11"/>
      <name val="Arial"/>
      <family val="2"/>
    </font>
    <font>
      <b/>
      <strike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/>
      <bottom/>
      <diagonal/>
    </border>
  </borders>
  <cellStyleXfs count="77">
    <xf numFmtId="0" fontId="0" fillId="0" borderId="22">
      <alignment vertical="center"/>
    </xf>
    <xf numFmtId="0" fontId="1" fillId="0" borderId="22"/>
    <xf numFmtId="0" fontId="1" fillId="0" borderId="22"/>
    <xf numFmtId="186" fontId="1" fillId="0" borderId="22"/>
    <xf numFmtId="9" fontId="1" fillId="0" borderId="22"/>
    <xf numFmtId="187" fontId="6" fillId="0" borderId="22"/>
    <xf numFmtId="0" fontId="7" fillId="0" borderId="22">
      <alignment horizontal="left"/>
    </xf>
    <xf numFmtId="38" fontId="8" fillId="2" borderId="22"/>
    <xf numFmtId="0" fontId="5" fillId="0" borderId="1">
      <alignment horizontal="left" vertical="center"/>
    </xf>
    <xf numFmtId="0" fontId="5" fillId="0" borderId="2">
      <alignment horizontal="left" vertical="center"/>
    </xf>
    <xf numFmtId="10" fontId="8" fillId="3" borderId="3"/>
    <xf numFmtId="0" fontId="4" fillId="0" borderId="22">
      <alignment vertical="center"/>
    </xf>
    <xf numFmtId="188" fontId="9" fillId="0" borderId="22"/>
    <xf numFmtId="10" fontId="3" fillId="0" borderId="22"/>
    <xf numFmtId="4" fontId="7" fillId="0" borderId="22">
      <alignment horizontal="right"/>
    </xf>
    <xf numFmtId="4" fontId="10" fillId="0" borderId="22">
      <alignment horizontal="right"/>
    </xf>
    <xf numFmtId="0" fontId="11" fillId="0" borderId="22">
      <alignment horizontal="left"/>
    </xf>
    <xf numFmtId="0" fontId="12" fillId="0" borderId="22">
      <alignment horizontal="center"/>
    </xf>
    <xf numFmtId="10" fontId="13" fillId="4" borderId="22"/>
    <xf numFmtId="9" fontId="1" fillId="0" borderId="22"/>
    <xf numFmtId="38" fontId="1" fillId="0" borderId="22"/>
    <xf numFmtId="38" fontId="1" fillId="0" borderId="22">
      <alignment vertical="center"/>
    </xf>
    <xf numFmtId="189" fontId="14" fillId="0" borderId="4">
      <protection locked="0"/>
    </xf>
    <xf numFmtId="189" fontId="14" fillId="0" borderId="4">
      <protection locked="0"/>
    </xf>
    <xf numFmtId="184" fontId="1" fillId="0" borderId="4">
      <protection locked="0"/>
    </xf>
    <xf numFmtId="184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4" fontId="1" fillId="0" borderId="4">
      <protection locked="0"/>
    </xf>
    <xf numFmtId="184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4" fontId="1" fillId="0" borderId="4">
      <protection locked="0"/>
    </xf>
    <xf numFmtId="184" fontId="1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9" fontId="14" fillId="0" borderId="4">
      <protection locked="0"/>
    </xf>
    <xf numFmtId="184" fontId="1" fillId="0" borderId="4">
      <protection locked="0"/>
    </xf>
    <xf numFmtId="184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0" fontId="16" fillId="0" borderId="4">
      <protection locked="0"/>
    </xf>
    <xf numFmtId="0" fontId="16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0" fontId="15" fillId="0" borderId="4">
      <protection locked="0"/>
    </xf>
    <xf numFmtId="191" fontId="1" fillId="0" borderId="4">
      <protection locked="0"/>
    </xf>
    <xf numFmtId="191" fontId="1" fillId="0" borderId="4">
      <protection locked="0"/>
    </xf>
    <xf numFmtId="192" fontId="14" fillId="0" borderId="4">
      <protection locked="0"/>
    </xf>
    <xf numFmtId="0" fontId="17" fillId="0" borderId="22">
      <alignment vertical="center"/>
    </xf>
    <xf numFmtId="0" fontId="17" fillId="0" borderId="22"/>
    <xf numFmtId="0" fontId="1" fillId="0" borderId="22"/>
    <xf numFmtId="0" fontId="1" fillId="0" borderId="22">
      <alignment vertical="center"/>
    </xf>
    <xf numFmtId="0" fontId="18" fillId="0" borderId="22"/>
    <xf numFmtId="0" fontId="19" fillId="0" borderId="22"/>
    <xf numFmtId="41" fontId="20" fillId="0" borderId="22"/>
    <xf numFmtId="43" fontId="20" fillId="0" borderId="22"/>
    <xf numFmtId="0" fontId="20" fillId="0" borderId="22">
      <alignment vertical="center"/>
    </xf>
    <xf numFmtId="0" fontId="1" fillId="0" borderId="22"/>
    <xf numFmtId="0" fontId="28" fillId="0" borderId="22">
      <alignment vertical="center"/>
    </xf>
    <xf numFmtId="38" fontId="30" fillId="0" borderId="22">
      <alignment vertical="center"/>
    </xf>
  </cellStyleXfs>
  <cellXfs count="133">
    <xf numFmtId="0" fontId="0" fillId="0" borderId="0" xfId="0" applyBorder="1">
      <alignment vertical="center"/>
    </xf>
    <xf numFmtId="0" fontId="21" fillId="0" borderId="0" xfId="1" applyFont="1" applyBorder="1" applyAlignment="1">
      <alignment vertical="center" wrapText="1"/>
    </xf>
    <xf numFmtId="0" fontId="21" fillId="0" borderId="0" xfId="1" applyFont="1" applyBorder="1" applyAlignment="1">
      <alignment horizontal="center" vertical="center" wrapText="1"/>
    </xf>
    <xf numFmtId="14" fontId="4" fillId="0" borderId="0" xfId="2" applyNumberFormat="1" applyFont="1" applyBorder="1" applyAlignment="1">
      <alignment horizontal="center" vertical="center"/>
    </xf>
    <xf numFmtId="14" fontId="23" fillId="0" borderId="0" xfId="2" applyNumberFormat="1" applyFont="1" applyBorder="1" applyAlignment="1">
      <alignment vertical="center"/>
    </xf>
    <xf numFmtId="0" fontId="4" fillId="0" borderId="0" xfId="2" applyFont="1" applyBorder="1" applyAlignment="1">
      <alignment vertical="top"/>
    </xf>
    <xf numFmtId="0" fontId="22" fillId="0" borderId="0" xfId="2" applyFont="1" applyBorder="1" applyAlignment="1">
      <alignment vertical="top"/>
    </xf>
    <xf numFmtId="0" fontId="22" fillId="0" borderId="0" xfId="2" applyFont="1" applyBorder="1" applyAlignment="1">
      <alignment vertical="center"/>
    </xf>
    <xf numFmtId="49" fontId="22" fillId="0" borderId="0" xfId="2" applyNumberFormat="1" applyFont="1" applyBorder="1" applyAlignment="1">
      <alignment horizontal="left" vertical="center"/>
    </xf>
    <xf numFmtId="49" fontId="22" fillId="0" borderId="0" xfId="2" applyNumberFormat="1" applyFont="1" applyBorder="1" applyAlignment="1">
      <alignment horizontal="right" vertical="center"/>
    </xf>
    <xf numFmtId="0" fontId="23" fillId="0" borderId="0" xfId="2" applyFont="1" applyBorder="1" applyAlignment="1">
      <alignment horizontal="left" vertical="center"/>
    </xf>
    <xf numFmtId="0" fontId="4" fillId="0" borderId="0" xfId="2" quotePrefix="1" applyFont="1" applyBorder="1" applyAlignment="1">
      <alignment horizontal="left" vertical="top"/>
    </xf>
    <xf numFmtId="0" fontId="4" fillId="0" borderId="0" xfId="2" applyFont="1" applyBorder="1" applyAlignment="1">
      <alignment horizontal="left" vertical="top"/>
    </xf>
    <xf numFmtId="0" fontId="22" fillId="0" borderId="0" xfId="2" applyFont="1" applyBorder="1" applyAlignment="1">
      <alignment horizontal="left" vertical="top"/>
    </xf>
    <xf numFmtId="49" fontId="4" fillId="0" borderId="0" xfId="2" quotePrefix="1" applyNumberFormat="1" applyFont="1" applyBorder="1" applyAlignment="1">
      <alignment horizontal="left" vertical="top"/>
    </xf>
    <xf numFmtId="0" fontId="25" fillId="0" borderId="0" xfId="2" applyFont="1" applyBorder="1" applyAlignment="1">
      <alignment horizontal="left" vertical="center"/>
    </xf>
    <xf numFmtId="49" fontId="25" fillId="0" borderId="0" xfId="2" quotePrefix="1" applyNumberFormat="1" applyFont="1" applyBorder="1" applyAlignment="1">
      <alignment horizontal="left" vertical="top"/>
    </xf>
    <xf numFmtId="0" fontId="25" fillId="0" borderId="0" xfId="2" quotePrefix="1" applyFont="1" applyBorder="1" applyAlignment="1">
      <alignment horizontal="left" vertical="top"/>
    </xf>
    <xf numFmtId="0" fontId="29" fillId="0" borderId="0" xfId="75" applyFont="1" applyBorder="1">
      <alignment vertical="center"/>
    </xf>
    <xf numFmtId="14" fontId="4" fillId="0" borderId="0" xfId="2" applyNumberFormat="1" applyFont="1" applyBorder="1" applyAlignment="1">
      <alignment horizontal="left" vertical="center"/>
    </xf>
    <xf numFmtId="14" fontId="4" fillId="0" borderId="0" xfId="2" applyNumberFormat="1" applyFont="1" applyBorder="1" applyAlignment="1">
      <alignment vertical="center"/>
    </xf>
    <xf numFmtId="0" fontId="4" fillId="0" borderId="0" xfId="2" applyFont="1" applyBorder="1" applyAlignment="1">
      <alignment horizontal="left" vertical="center"/>
    </xf>
    <xf numFmtId="0" fontId="31" fillId="0" borderId="0" xfId="0" applyFont="1" applyBorder="1">
      <alignment vertical="center"/>
    </xf>
    <xf numFmtId="49" fontId="1" fillId="0" borderId="0" xfId="2" applyNumberFormat="1" applyBorder="1" applyAlignment="1">
      <alignment vertical="top"/>
    </xf>
    <xf numFmtId="0" fontId="32" fillId="0" borderId="0" xfId="2" quotePrefix="1" applyFont="1" applyBorder="1" applyAlignment="1">
      <alignment horizontal="left" vertical="top"/>
    </xf>
    <xf numFmtId="0" fontId="32" fillId="0" borderId="0" xfId="2" applyFont="1" applyBorder="1" applyAlignment="1">
      <alignment horizontal="left" vertical="top"/>
    </xf>
    <xf numFmtId="0" fontId="4" fillId="0" borderId="0" xfId="2" applyFont="1" applyBorder="1" applyAlignment="1">
      <alignment vertical="top" wrapText="1"/>
    </xf>
    <xf numFmtId="0" fontId="4" fillId="0" borderId="7" xfId="2" applyFont="1" applyBorder="1" applyAlignment="1">
      <alignment horizontal="left" vertical="top"/>
    </xf>
    <xf numFmtId="49" fontId="23" fillId="0" borderId="0" xfId="2" quotePrefix="1" applyNumberFormat="1" applyFont="1" applyBorder="1" applyAlignment="1">
      <alignment vertical="top"/>
    </xf>
    <xf numFmtId="0" fontId="4" fillId="0" borderId="0" xfId="2" quotePrefix="1" applyFont="1" applyBorder="1" applyAlignment="1">
      <alignment horizontal="left" vertical="center"/>
    </xf>
    <xf numFmtId="49" fontId="4" fillId="0" borderId="0" xfId="2" quotePrefix="1" applyNumberFormat="1" applyFont="1" applyBorder="1" applyAlignment="1">
      <alignment vertical="top"/>
    </xf>
    <xf numFmtId="49" fontId="4" fillId="0" borderId="0" xfId="2" applyNumberFormat="1" applyFont="1" applyBorder="1" applyAlignment="1">
      <alignment vertical="top"/>
    </xf>
    <xf numFmtId="49" fontId="4" fillId="0" borderId="0" xfId="2" applyNumberFormat="1" applyFont="1" applyBorder="1" applyAlignment="1">
      <alignment horizontal="left" vertical="top"/>
    </xf>
    <xf numFmtId="0" fontId="4" fillId="0" borderId="0" xfId="2" quotePrefix="1" applyFont="1" applyBorder="1" applyAlignment="1">
      <alignment vertical="center"/>
    </xf>
    <xf numFmtId="49" fontId="25" fillId="0" borderId="0" xfId="2" applyNumberFormat="1" applyFont="1" applyBorder="1" applyAlignment="1">
      <alignment horizontal="left" vertical="top"/>
    </xf>
    <xf numFmtId="14" fontId="25" fillId="0" borderId="0" xfId="2" applyNumberFormat="1" applyFont="1" applyBorder="1" applyAlignment="1">
      <alignment horizontal="left" vertical="center"/>
    </xf>
    <xf numFmtId="49" fontId="23" fillId="0" borderId="0" xfId="2" applyNumberFormat="1" applyFont="1" applyBorder="1" applyAlignment="1">
      <alignment horizontal="left" vertical="top"/>
    </xf>
    <xf numFmtId="0" fontId="23" fillId="0" borderId="0" xfId="2" applyFont="1" applyBorder="1" applyAlignment="1">
      <alignment vertical="center"/>
    </xf>
    <xf numFmtId="14" fontId="4" fillId="0" borderId="0" xfId="2" quotePrefix="1" applyNumberFormat="1" applyFont="1" applyBorder="1" applyAlignment="1">
      <alignment horizontal="left" vertical="center"/>
    </xf>
    <xf numFmtId="0" fontId="23" fillId="0" borderId="0" xfId="2" quotePrefix="1" applyFont="1" applyBorder="1" applyAlignment="1">
      <alignment horizontal="left" vertical="center"/>
    </xf>
    <xf numFmtId="49" fontId="32" fillId="0" borderId="0" xfId="2" applyNumberFormat="1" applyFont="1" applyBorder="1" applyAlignment="1">
      <alignment vertical="top"/>
    </xf>
    <xf numFmtId="0" fontId="24" fillId="0" borderId="0" xfId="2" applyFont="1" applyBorder="1" applyAlignment="1">
      <alignment horizontal="left" vertical="center"/>
    </xf>
    <xf numFmtId="0" fontId="24" fillId="0" borderId="0" xfId="2" applyFont="1" applyBorder="1" applyAlignment="1">
      <alignment vertical="center"/>
    </xf>
    <xf numFmtId="0" fontId="25" fillId="0" borderId="0" xfId="2" quotePrefix="1" applyFont="1" applyBorder="1" applyAlignment="1">
      <alignment horizontal="left" vertical="center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0" fillId="0" borderId="22" xfId="0" applyAlignment="1"/>
    <xf numFmtId="0" fontId="4" fillId="0" borderId="22" xfId="2" applyFont="1" applyAlignment="1">
      <alignment horizontal="left" vertical="center"/>
    </xf>
    <xf numFmtId="14" fontId="23" fillId="0" borderId="22" xfId="2" quotePrefix="1" applyNumberFormat="1" applyFont="1" applyAlignment="1">
      <alignment horizontal="left" vertical="center"/>
    </xf>
    <xf numFmtId="0" fontId="24" fillId="0" borderId="22" xfId="2" applyFont="1" applyAlignment="1">
      <alignment horizontal="left" vertical="center"/>
    </xf>
    <xf numFmtId="0" fontId="4" fillId="0" borderId="22" xfId="2" applyFont="1" applyAlignment="1">
      <alignment horizontal="center" vertical="center"/>
    </xf>
    <xf numFmtId="0" fontId="29" fillId="0" borderId="22" xfId="75" applyFont="1">
      <alignment vertical="center"/>
    </xf>
    <xf numFmtId="14" fontId="4" fillId="0" borderId="22" xfId="2" quotePrefix="1" applyNumberFormat="1" applyFont="1" applyAlignment="1">
      <alignment horizontal="left" vertical="center"/>
    </xf>
    <xf numFmtId="14" fontId="23" fillId="0" borderId="22" xfId="2" applyNumberFormat="1" applyFont="1" applyAlignment="1">
      <alignment horizontal="left" vertical="center"/>
    </xf>
    <xf numFmtId="49" fontId="4" fillId="0" borderId="22" xfId="2" quotePrefix="1" applyNumberFormat="1" applyFont="1" applyAlignment="1">
      <alignment vertical="top"/>
    </xf>
    <xf numFmtId="49" fontId="4" fillId="0" borderId="22" xfId="2" applyNumberFormat="1" applyFont="1" applyAlignment="1">
      <alignment vertical="top"/>
    </xf>
    <xf numFmtId="0" fontId="4" fillId="0" borderId="22" xfId="2" applyFont="1" applyAlignment="1">
      <alignment vertical="center"/>
    </xf>
    <xf numFmtId="0" fontId="25" fillId="0" borderId="22" xfId="2" applyFont="1" applyAlignment="1">
      <alignment horizontal="center" vertical="center"/>
    </xf>
    <xf numFmtId="0" fontId="23" fillId="0" borderId="22" xfId="2" applyFont="1" applyAlignment="1">
      <alignment vertical="center"/>
    </xf>
    <xf numFmtId="0" fontId="24" fillId="0" borderId="22" xfId="2" applyFont="1" applyAlignment="1">
      <alignment vertical="center"/>
    </xf>
    <xf numFmtId="0" fontId="31" fillId="0" borderId="22" xfId="0" applyFont="1">
      <alignment vertical="center"/>
    </xf>
    <xf numFmtId="0" fontId="4" fillId="0" borderId="22" xfId="2" quotePrefix="1" applyFont="1" applyAlignment="1">
      <alignment horizontal="left" vertical="center"/>
    </xf>
    <xf numFmtId="49" fontId="32" fillId="0" borderId="22" xfId="2" applyNumberFormat="1" applyFont="1" applyAlignment="1">
      <alignment vertical="top"/>
    </xf>
    <xf numFmtId="0" fontId="4" fillId="0" borderId="0" xfId="2" applyFont="1" applyBorder="1" applyAlignment="1">
      <alignment vertical="center"/>
    </xf>
    <xf numFmtId="0" fontId="22" fillId="0" borderId="0" xfId="1" applyFont="1" applyBorder="1" applyAlignment="1">
      <alignment vertical="center"/>
    </xf>
    <xf numFmtId="14" fontId="4" fillId="0" borderId="22" xfId="2" applyNumberFormat="1" applyFont="1" applyAlignment="1">
      <alignment horizontal="left" vertical="center"/>
    </xf>
    <xf numFmtId="0" fontId="26" fillId="0" borderId="0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49" fontId="4" fillId="0" borderId="13" xfId="2" quotePrefix="1" applyNumberFormat="1" applyFont="1" applyBorder="1" applyAlignment="1">
      <alignment vertical="top"/>
    </xf>
    <xf numFmtId="176" fontId="4" fillId="0" borderId="0" xfId="2" applyNumberFormat="1" applyFont="1" applyBorder="1" applyAlignment="1">
      <alignment horizontal="left" vertical="center"/>
    </xf>
    <xf numFmtId="177" fontId="25" fillId="0" borderId="22" xfId="76" applyNumberFormat="1" applyFont="1" applyAlignment="1">
      <alignment horizontal="right" vertical="center"/>
    </xf>
    <xf numFmtId="177" fontId="33" fillId="0" borderId="22" xfId="76" applyNumberFormat="1" applyFont="1" applyAlignment="1">
      <alignment horizontal="right" vertical="center"/>
    </xf>
    <xf numFmtId="178" fontId="4" fillId="0" borderId="22" xfId="76" applyNumberFormat="1" applyFont="1" applyAlignment="1">
      <alignment horizontal="right" vertical="center"/>
    </xf>
    <xf numFmtId="178" fontId="4" fillId="0" borderId="14" xfId="76" applyNumberFormat="1" applyFont="1" applyBorder="1" applyAlignment="1">
      <alignment horizontal="right" vertical="center"/>
    </xf>
    <xf numFmtId="179" fontId="4" fillId="0" borderId="8" xfId="76" applyNumberFormat="1" applyFont="1" applyBorder="1" applyAlignment="1">
      <alignment horizontal="center" vertical="center"/>
    </xf>
    <xf numFmtId="179" fontId="4" fillId="0" borderId="14" xfId="76" applyNumberFormat="1" applyFont="1" applyBorder="1" applyAlignment="1">
      <alignment horizontal="center" vertical="center"/>
    </xf>
    <xf numFmtId="180" fontId="4" fillId="0" borderId="3" xfId="76" applyNumberFormat="1" applyFont="1" applyBorder="1" applyAlignment="1">
      <alignment horizontal="center" vertical="center"/>
    </xf>
    <xf numFmtId="179" fontId="23" fillId="0" borderId="3" xfId="76" applyNumberFormat="1" applyFont="1" applyBorder="1" applyAlignment="1">
      <alignment horizontal="center" vertical="center"/>
    </xf>
    <xf numFmtId="178" fontId="25" fillId="0" borderId="22" xfId="76" applyNumberFormat="1" applyFont="1" applyAlignment="1">
      <alignment horizontal="right" vertical="center"/>
    </xf>
    <xf numFmtId="178" fontId="25" fillId="0" borderId="14" xfId="76" applyNumberFormat="1" applyFont="1" applyBorder="1" applyAlignment="1">
      <alignment horizontal="right" vertical="center"/>
    </xf>
    <xf numFmtId="179" fontId="23" fillId="0" borderId="5" xfId="76" applyNumberFormat="1" applyFont="1" applyBorder="1" applyAlignment="1">
      <alignment horizontal="center" vertical="center"/>
    </xf>
    <xf numFmtId="180" fontId="25" fillId="0" borderId="22" xfId="2" applyNumberFormat="1" applyFont="1" applyAlignment="1">
      <alignment horizontal="center" vertical="center"/>
    </xf>
    <xf numFmtId="178" fontId="24" fillId="0" borderId="22" xfId="2" applyNumberFormat="1" applyFont="1" applyAlignment="1">
      <alignment vertical="center"/>
    </xf>
    <xf numFmtId="178" fontId="24" fillId="0" borderId="0" xfId="2" applyNumberFormat="1" applyFont="1" applyBorder="1" applyAlignment="1">
      <alignment vertical="center"/>
    </xf>
    <xf numFmtId="181" fontId="23" fillId="0" borderId="0" xfId="2" applyNumberFormat="1" applyFont="1" applyBorder="1" applyAlignment="1">
      <alignment horizontal="right" vertical="top"/>
    </xf>
    <xf numFmtId="182" fontId="23" fillId="0" borderId="0" xfId="2" applyNumberFormat="1" applyFont="1" applyBorder="1" applyAlignment="1">
      <alignment vertical="top"/>
    </xf>
    <xf numFmtId="183" fontId="4" fillId="0" borderId="0" xfId="3" applyNumberFormat="1" applyFont="1" applyBorder="1" applyAlignment="1">
      <alignment vertical="top"/>
    </xf>
    <xf numFmtId="183" fontId="4" fillId="0" borderId="0" xfId="2" applyNumberFormat="1" applyFont="1" applyBorder="1" applyAlignment="1">
      <alignment horizontal="right" vertical="top"/>
    </xf>
    <xf numFmtId="182" fontId="4" fillId="0" borderId="0" xfId="2" applyNumberFormat="1" applyFont="1" applyBorder="1" applyAlignment="1">
      <alignment vertical="top"/>
    </xf>
    <xf numFmtId="182" fontId="23" fillId="0" borderId="0" xfId="2" applyNumberFormat="1" applyFont="1" applyBorder="1" applyAlignment="1">
      <alignment horizontal="left" vertical="top"/>
    </xf>
    <xf numFmtId="183" fontId="23" fillId="0" borderId="0" xfId="3" applyNumberFormat="1" applyFont="1" applyBorder="1" applyAlignment="1">
      <alignment vertical="top"/>
    </xf>
    <xf numFmtId="178" fontId="23" fillId="0" borderId="0" xfId="2" applyNumberFormat="1" applyFont="1" applyBorder="1" applyAlignment="1">
      <alignment horizontal="right" vertical="top"/>
    </xf>
    <xf numFmtId="183" fontId="4" fillId="0" borderId="0" xfId="3" applyNumberFormat="1" applyFont="1" applyBorder="1" applyAlignment="1">
      <alignment horizontal="right" vertical="top"/>
    </xf>
    <xf numFmtId="184" fontId="34" fillId="0" borderId="0" xfId="2" quotePrefix="1" applyNumberFormat="1" applyFont="1" applyBorder="1" applyAlignment="1">
      <alignment horizontal="left" vertical="center"/>
    </xf>
    <xf numFmtId="184" fontId="34" fillId="0" borderId="0" xfId="2" applyNumberFormat="1" applyFont="1" applyBorder="1" applyAlignment="1">
      <alignment horizontal="left" vertical="center"/>
    </xf>
    <xf numFmtId="184" fontId="35" fillId="0" borderId="0" xfId="2" applyNumberFormat="1" applyFont="1" applyBorder="1" applyAlignment="1">
      <alignment horizontal="left" vertical="top"/>
    </xf>
    <xf numFmtId="184" fontId="35" fillId="0" borderId="0" xfId="3" applyNumberFormat="1" applyFont="1" applyBorder="1" applyAlignment="1">
      <alignment vertical="top"/>
    </xf>
    <xf numFmtId="185" fontId="22" fillId="0" borderId="0" xfId="2" applyNumberFormat="1" applyFont="1" applyBorder="1" applyAlignment="1">
      <alignment horizontal="right" vertical="center"/>
    </xf>
    <xf numFmtId="14" fontId="4" fillId="0" borderId="0" xfId="2" quotePrefix="1" applyNumberFormat="1" applyFont="1" applyBorder="1" applyAlignment="1">
      <alignment horizontal="left" vertical="top"/>
    </xf>
    <xf numFmtId="0" fontId="4" fillId="0" borderId="17" xfId="2" applyFont="1" applyBorder="1" applyAlignment="1">
      <alignment horizontal="center" vertical="center"/>
    </xf>
    <xf numFmtId="0" fontId="0" fillId="0" borderId="19" xfId="0" applyBorder="1" applyAlignment="1"/>
    <xf numFmtId="0" fontId="27" fillId="0" borderId="22" xfId="2" applyFont="1" applyAlignment="1">
      <alignment horizontal="center" vertical="center" wrapText="1"/>
    </xf>
    <xf numFmtId="0" fontId="4" fillId="0" borderId="0" xfId="2" applyFont="1" applyBorder="1" applyAlignment="1">
      <alignment vertical="center"/>
    </xf>
    <xf numFmtId="14" fontId="4" fillId="0" borderId="15" xfId="2" applyNumberFormat="1" applyFont="1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4" fillId="0" borderId="22" xfId="2" applyFont="1" applyAlignment="1">
      <alignment horizontal="right"/>
    </xf>
    <xf numFmtId="0" fontId="22" fillId="0" borderId="0" xfId="1" applyFont="1" applyBorder="1" applyAlignment="1">
      <alignment vertical="center"/>
    </xf>
    <xf numFmtId="14" fontId="4" fillId="0" borderId="17" xfId="2" applyNumberFormat="1" applyFont="1" applyBorder="1" applyAlignment="1">
      <alignment horizontal="center" vertical="center"/>
    </xf>
    <xf numFmtId="0" fontId="0" fillId="0" borderId="18" xfId="0" applyBorder="1" applyAlignment="1"/>
    <xf numFmtId="14" fontId="4" fillId="0" borderId="16" xfId="2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4" fillId="0" borderId="15" xfId="2" applyFont="1" applyBorder="1" applyAlignment="1">
      <alignment horizontal="center" vertical="center"/>
    </xf>
    <xf numFmtId="179" fontId="4" fillId="0" borderId="8" xfId="76" applyNumberFormat="1" applyFont="1" applyBorder="1" applyAlignment="1">
      <alignment horizontal="center" vertical="center"/>
    </xf>
    <xf numFmtId="179" fontId="4" fillId="0" borderId="20" xfId="76" applyNumberFormat="1" applyFont="1" applyBorder="1" applyAlignment="1">
      <alignment horizontal="center" vertical="center"/>
    </xf>
    <xf numFmtId="179" fontId="4" fillId="0" borderId="21" xfId="76" applyNumberFormat="1" applyFont="1" applyBorder="1" applyAlignment="1">
      <alignment horizontal="center" vertical="center"/>
    </xf>
    <xf numFmtId="179" fontId="4" fillId="0" borderId="14" xfId="76" applyNumberFormat="1" applyFont="1" applyBorder="1" applyAlignment="1">
      <alignment horizontal="center" vertical="center"/>
    </xf>
    <xf numFmtId="179" fontId="4" fillId="0" borderId="22" xfId="76" applyNumberFormat="1" applyFont="1" applyAlignment="1">
      <alignment horizontal="center" vertical="center"/>
    </xf>
    <xf numFmtId="179" fontId="4" fillId="0" borderId="13" xfId="76" applyNumberFormat="1" applyFont="1" applyBorder="1" applyAlignment="1">
      <alignment horizontal="center" vertical="center"/>
    </xf>
    <xf numFmtId="179" fontId="4" fillId="0" borderId="11" xfId="76" applyNumberFormat="1" applyFont="1" applyBorder="1" applyAlignment="1">
      <alignment horizontal="center" vertical="center"/>
    </xf>
    <xf numFmtId="179" fontId="4" fillId="0" borderId="7" xfId="76" applyNumberFormat="1" applyFont="1" applyBorder="1" applyAlignment="1">
      <alignment horizontal="center" vertical="center"/>
    </xf>
    <xf numFmtId="179" fontId="4" fillId="0" borderId="12" xfId="76" applyNumberFormat="1" applyFont="1" applyBorder="1" applyAlignment="1">
      <alignment horizontal="center" vertical="center"/>
    </xf>
    <xf numFmtId="49" fontId="4" fillId="0" borderId="0" xfId="2" applyNumberFormat="1" applyFont="1" applyBorder="1" applyAlignment="1">
      <alignment horizontal="left" vertical="top" wrapText="1"/>
    </xf>
    <xf numFmtId="0" fontId="4" fillId="0" borderId="0" xfId="2" applyFont="1" applyBorder="1" applyAlignment="1">
      <alignment horizontal="left" vertical="top" wrapText="1"/>
    </xf>
    <xf numFmtId="14" fontId="4" fillId="0" borderId="22" xfId="2" applyNumberFormat="1" applyFont="1" applyAlignment="1">
      <alignment horizontal="left" vertical="top" wrapText="1"/>
    </xf>
    <xf numFmtId="0" fontId="4" fillId="0" borderId="16" xfId="2" applyFont="1" applyBorder="1" applyAlignment="1">
      <alignment horizontal="center" vertical="center"/>
    </xf>
    <xf numFmtId="0" fontId="26" fillId="0" borderId="22" xfId="2" applyFont="1" applyAlignment="1">
      <alignment horizontal="center" vertical="center"/>
    </xf>
    <xf numFmtId="179" fontId="4" fillId="0" borderId="17" xfId="76" applyNumberFormat="1" applyFont="1" applyBorder="1" applyAlignment="1">
      <alignment horizontal="center" vertical="center"/>
    </xf>
    <xf numFmtId="14" fontId="4" fillId="0" borderId="22" xfId="2" applyNumberFormat="1" applyFont="1" applyAlignment="1">
      <alignment horizontal="left" vertical="center"/>
    </xf>
    <xf numFmtId="179" fontId="4" fillId="0" borderId="6" xfId="76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6" xfId="0" applyBorder="1" applyAlignment="1"/>
    <xf numFmtId="14" fontId="4" fillId="0" borderId="17" xfId="2" applyNumberFormat="1" applyFont="1" applyBorder="1" applyAlignment="1">
      <alignment horizontal="center" vertical="center" wrapText="1"/>
    </xf>
  </cellXfs>
  <cellStyles count="77">
    <cellStyle name="1月" xfId="4" xr:uid="{00000000-0005-0000-0000-000004000000}"/>
    <cellStyle name="Calc Currency (0)" xfId="5" xr:uid="{00000000-0005-0000-0000-000005000000}"/>
    <cellStyle name="Comma [0]" xfId="76" builtinId="6"/>
    <cellStyle name="entry" xfId="6" xr:uid="{00000000-0005-0000-0000-000006000000}"/>
    <cellStyle name="Grey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CM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D000000}"/>
    <cellStyle name="price" xfId="14" xr:uid="{00000000-0005-0000-0000-00000E000000}"/>
    <cellStyle name="revised" xfId="15" xr:uid="{00000000-0005-0000-0000-00000F000000}"/>
    <cellStyle name="section" xfId="16" xr:uid="{00000000-0005-0000-0000-000010000000}"/>
    <cellStyle name="title" xfId="17" xr:uid="{00000000-0005-0000-0000-000011000000}"/>
    <cellStyle name="ﾊﾟｰｾﾝﾄ" xfId="18" xr:uid="{00000000-0005-0000-0000-000012000000}"/>
    <cellStyle name="パーセント 2" xfId="19" xr:uid="{00000000-0005-0000-0000-000013000000}"/>
    <cellStyle name="見積-通貨記号" xfId="64" xr:uid="{00000000-0005-0000-0000-000040000000}"/>
    <cellStyle name="見積桁区切り" xfId="22" xr:uid="{00000000-0005-0000-0000-000016000000}"/>
    <cellStyle name="見積-桁区切り" xfId="23" xr:uid="{00000000-0005-0000-0000-000017000000}"/>
    <cellStyle name="見積桁区切り_01031292 改B  新日鐵住金ｽﾃﾝﾚｽ　光 ｶｯﾀｰ xls" xfId="24" xr:uid="{00000000-0005-0000-0000-000018000000}"/>
    <cellStyle name="見積-桁区切り_01031292 改B  新日鐵住金ｽﾃﾝﾚｽ　光 ｶｯﾀｰ xls" xfId="25" xr:uid="{00000000-0005-0000-0000-000019000000}"/>
    <cellStyle name="見積桁区切り_01041990  まとめ MH見積" xfId="26" xr:uid="{00000000-0005-0000-0000-00001A000000}"/>
    <cellStyle name="見積-桁区切り_01041990  まとめ MH見積" xfId="27" xr:uid="{00000000-0005-0000-0000-00001B000000}"/>
    <cellStyle name="見積桁区切り_01042081 まとめ 見計" xfId="28" xr:uid="{00000000-0005-0000-0000-00001C000000}"/>
    <cellStyle name="見積-桁区切り_01042081 まとめ 見計" xfId="29" xr:uid="{00000000-0005-0000-0000-00001D000000}"/>
    <cellStyle name="見積桁区切り_01042125  新日鐵住金ｽﾃﾝﾚｽ　光 ｶｯﾀｰ xls" xfId="30" xr:uid="{00000000-0005-0000-0000-00001E000000}"/>
    <cellStyle name="見積-桁区切り_01042125  新日鐵住金ｽﾃﾝﾚｽ　光 ｶｯﾀｰ xls" xfId="31" xr:uid="{00000000-0005-0000-0000-00001F000000}"/>
    <cellStyle name="見積桁区切り_九州営LS7000見" xfId="32" xr:uid="{00000000-0005-0000-0000-000020000000}"/>
    <cellStyle name="見積-桁区切り_九州営LS7000見" xfId="33" xr:uid="{00000000-0005-0000-0000-000021000000}"/>
    <cellStyle name="見積桁区切り_九州営LS7000見_01031292 改B  新日鐵住金ｽﾃﾝﾚｽ　光 ｶｯﾀｰ xls" xfId="34" xr:uid="{00000000-0005-0000-0000-000022000000}"/>
    <cellStyle name="見積-桁区切り_九州営LS7000見_01031292 改B  新日鐵住金ｽﾃﾝﾚｽ　光 ｶｯﾀｰ xls" xfId="35" xr:uid="{00000000-0005-0000-0000-000023000000}"/>
    <cellStyle name="見積桁区切り_九州営LS7000見_01041990  まとめ MH見積" xfId="36" xr:uid="{00000000-0005-0000-0000-000024000000}"/>
    <cellStyle name="見積-桁区切り_九州営LS7000見_01041990  まとめ MH見積" xfId="37" xr:uid="{00000000-0005-0000-0000-000025000000}"/>
    <cellStyle name="見積桁区切り_九州営LS7000見_01042081 まとめ 見計" xfId="38" xr:uid="{00000000-0005-0000-0000-000026000000}"/>
    <cellStyle name="見積-桁区切り_九州営LS7000見_01042081 まとめ 見計" xfId="39" xr:uid="{00000000-0005-0000-0000-000027000000}"/>
    <cellStyle name="見積桁区切り_九州営LS7000見_01042125  新日鐵住金ｽﾃﾝﾚｽ　光 ｶｯﾀｰ xls" xfId="40" xr:uid="{00000000-0005-0000-0000-000028000000}"/>
    <cellStyle name="見積-桁区切り_九州営LS7000見_01042125  新日鐵住金ｽﾃﾝﾚｽ　光 ｶｯﾀｰ xls" xfId="41" xr:uid="{00000000-0005-0000-0000-000029000000}"/>
    <cellStyle name="見積桁区切り_作業着手(H120306)" xfId="42" xr:uid="{00000000-0005-0000-0000-00002A000000}"/>
    <cellStyle name="見積-桁区切り_作業着手(H120306)" xfId="43" xr:uid="{00000000-0005-0000-0000-00002B000000}"/>
    <cellStyle name="見積桁区切り_作業着手(H120306)_01031292 改B  新日鐵住金ｽﾃﾝﾚｽ　光 ｶｯﾀｰ xls" xfId="44" xr:uid="{00000000-0005-0000-0000-00002C000000}"/>
    <cellStyle name="見積-桁区切り_作業着手(H120306)_01031292 改B  新日鐵住金ｽﾃﾝﾚｽ　光 ｶｯﾀｰ xls" xfId="45" xr:uid="{00000000-0005-0000-0000-00002D000000}"/>
    <cellStyle name="見積桁区切り_作業着手(H120306)_01041990  まとめ MH見積" xfId="46" xr:uid="{00000000-0005-0000-0000-00002E000000}"/>
    <cellStyle name="見積-桁区切り_作業着手(H120306)_01041990  まとめ MH見積" xfId="47" xr:uid="{00000000-0005-0000-0000-00002F000000}"/>
    <cellStyle name="見積桁区切り_作業着手(H120306)_01042081 まとめ 見計" xfId="48" xr:uid="{00000000-0005-0000-0000-000030000000}"/>
    <cellStyle name="見積-桁区切り_作業着手(H120306)_01042081 まとめ 見計" xfId="49" xr:uid="{00000000-0005-0000-0000-000031000000}"/>
    <cellStyle name="見積桁区切り_作業着手(H120306)_01042125  新日鐵住金ｽﾃﾝﾚｽ　光 ｶｯﾀｰ xls" xfId="50" xr:uid="{00000000-0005-0000-0000-000032000000}"/>
    <cellStyle name="見積-桁区切り_作業着手(H120306)_01042125  新日鐵住金ｽﾃﾝﾚｽ　光 ｶｯﾀｰ xls" xfId="51" xr:uid="{00000000-0005-0000-0000-000033000000}"/>
    <cellStyle name="見積桁区切り_注文書" xfId="54" xr:uid="{00000000-0005-0000-0000-000036000000}"/>
    <cellStyle name="見積-桁区切り_注文書" xfId="55" xr:uid="{00000000-0005-0000-0000-000037000000}"/>
    <cellStyle name="見積桁区切り_注文書_01031292 改B  新日鐵住金ｽﾃﾝﾚｽ　光 ｶｯﾀｰ xls" xfId="56" xr:uid="{00000000-0005-0000-0000-000038000000}"/>
    <cellStyle name="見積-桁区切り_注文書_01031292 改B  新日鐵住金ｽﾃﾝﾚｽ　光 ｶｯﾀｰ xls" xfId="57" xr:uid="{00000000-0005-0000-0000-000039000000}"/>
    <cellStyle name="見積桁区切り_注文書_01041990  まとめ MH見積" xfId="58" xr:uid="{00000000-0005-0000-0000-00003A000000}"/>
    <cellStyle name="見積-桁区切り_注文書_01041990  まとめ MH見積" xfId="59" xr:uid="{00000000-0005-0000-0000-00003B000000}"/>
    <cellStyle name="見積桁区切り_注文書_01042081 まとめ 見計" xfId="60" xr:uid="{00000000-0005-0000-0000-00003C000000}"/>
    <cellStyle name="見積-桁区切り_注文書_01042081 まとめ 見計" xfId="61" xr:uid="{00000000-0005-0000-0000-00003D000000}"/>
    <cellStyle name="見積桁区切り_注文書_01042125  新日鐵住金ｽﾃﾝﾚｽ　光 ｶｯﾀｰ xls" xfId="62" xr:uid="{00000000-0005-0000-0000-00003E000000}"/>
    <cellStyle name="見積-桁区切り_注文書_01042125  新日鐵住金ｽﾃﾝﾚｽ　光 ｶｯﾀｰ xls" xfId="63" xr:uid="{00000000-0005-0000-0000-00003F000000}"/>
    <cellStyle name="見積桁区切り_請書" xfId="52" xr:uid="{00000000-0005-0000-0000-000034000000}"/>
    <cellStyle name="見積-桁区切り_請書" xfId="53" xr:uid="{00000000-0005-0000-0000-000035000000}"/>
    <cellStyle name="㼿㼿㼿㼿㼿㼿㼿?" xfId="74" xr:uid="{00000000-0005-0000-0000-00004A000000}"/>
    <cellStyle name="未定義" xfId="69" xr:uid="{00000000-0005-0000-0000-000045000000}"/>
    <cellStyle name="뷭?_BOOKSHIP" xfId="70" xr:uid="{00000000-0005-0000-0000-000046000000}"/>
    <cellStyle name="常规_4_11_3_E_Sparelist-0225" xfId="66" xr:uid="{00000000-0005-0000-0000-000042000000}"/>
    <cellStyle name="콤마 [0]_1 ★" xfId="71" xr:uid="{00000000-0005-0000-0000-000047000000}"/>
    <cellStyle name="콤마_1 ★" xfId="72" xr:uid="{00000000-0005-0000-0000-000048000000}"/>
    <cellStyle name="通貨 2" xfId="3" xr:uid="{00000000-0005-0000-0000-000003000000}"/>
    <cellStyle name="標準 2" xfId="1" xr:uid="{00000000-0005-0000-0000-000001000000}"/>
    <cellStyle name="標準 2 2" xfId="2" xr:uid="{00000000-0005-0000-0000-000002000000}"/>
    <cellStyle name="標準 3" xfId="67" xr:uid="{00000000-0005-0000-0000-000043000000}"/>
    <cellStyle name="標準 3 2" xfId="68" xr:uid="{00000000-0005-0000-0000-000044000000}"/>
    <cellStyle name="標準 4" xfId="75" xr:uid="{00000000-0005-0000-0000-00004B000000}"/>
    <cellStyle name="표준_General" xfId="73" xr:uid="{00000000-0005-0000-0000-000049000000}"/>
    <cellStyle name="桁区切り 2" xfId="20" xr:uid="{00000000-0005-0000-0000-000014000000}"/>
    <cellStyle name="桁区切り 3" xfId="21" xr:uid="{00000000-0005-0000-0000-000015000000}"/>
    <cellStyle name="好み１" xfId="65" xr:uid="{00000000-0005-0000-0000-00004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112835</xdr:colOff>
      <xdr:row>0</xdr:row>
      <xdr:rowOff>118697</xdr:rowOff>
    </xdr:from>
    <xdr:ext cx="2431073" cy="711444"/>
    <xdr:pic>
      <xdr:nvPicPr>
        <xdr:cNvPr id="2" name="Primetals 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2431073" cy="711444"/>
        </a:xfrm>
        <a:prstGeom prst="rect">
          <a:avLst/>
        </a:prstGeom>
        <a:noFill/>
        <a:ln>
          <a:noFill/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FF"/>
    <pageSetUpPr fitToPage="1"/>
  </sheetPr>
  <dimension ref="A1:AS159"/>
  <sheetViews>
    <sheetView tabSelected="1" topLeftCell="A16" zoomScale="130" zoomScaleNormal="130" zoomScaleSheetLayoutView="145" workbookViewId="0">
      <selection activeCell="V80" sqref="V80"/>
    </sheetView>
  </sheetViews>
  <sheetFormatPr defaultRowHeight="13.5"/>
  <cols>
    <col min="1" max="2" width="2" style="7" customWidth="1"/>
    <col min="3" max="3" width="3.625" style="7" customWidth="1"/>
    <col min="4" max="10" width="2.5" style="7" customWidth="1"/>
    <col min="11" max="11" width="17.5" style="7" customWidth="1"/>
    <col min="12" max="13" width="3.125" style="7" customWidth="1"/>
    <col min="14" max="19" width="2.5" style="7" customWidth="1"/>
    <col min="20" max="20" width="0.625" style="7" customWidth="1"/>
    <col min="21" max="21" width="0.375" style="7" customWidth="1"/>
    <col min="22" max="22" width="10" style="7" customWidth="1"/>
    <col min="23" max="23" width="20" style="7" customWidth="1"/>
    <col min="24" max="24" width="7" style="7" customWidth="1"/>
    <col min="25" max="25" width="9.5" style="7" bestFit="1" customWidth="1"/>
    <col min="26" max="26" width="14.875" style="7" customWidth="1"/>
    <col min="27" max="44" width="3.5" style="7" customWidth="1"/>
    <col min="45" max="46" width="6.25" style="7" customWidth="1"/>
    <col min="47" max="255" width="9" style="7" customWidth="1"/>
    <col min="256" max="258" width="2.75" style="7" customWidth="1"/>
    <col min="259" max="272" width="2.875" style="7" customWidth="1"/>
    <col min="273" max="273" width="2.625" style="7" customWidth="1"/>
    <col min="274" max="274" width="4.5" style="7" customWidth="1"/>
    <col min="275" max="275" width="5.375" style="7" customWidth="1"/>
    <col min="276" max="277" width="7.875" style="7" customWidth="1"/>
    <col min="278" max="278" width="15.75" style="7" customWidth="1"/>
    <col min="279" max="511" width="9" style="7" customWidth="1"/>
    <col min="512" max="514" width="2.75" style="7" customWidth="1"/>
    <col min="515" max="528" width="2.875" style="7" customWidth="1"/>
    <col min="529" max="529" width="2.625" style="7" customWidth="1"/>
    <col min="530" max="530" width="4.5" style="7" customWidth="1"/>
    <col min="531" max="531" width="5.375" style="7" customWidth="1"/>
    <col min="532" max="533" width="7.875" style="7" customWidth="1"/>
    <col min="534" max="534" width="15.75" style="7" customWidth="1"/>
    <col min="535" max="767" width="9" style="7" customWidth="1"/>
    <col min="768" max="770" width="2.75" style="7" customWidth="1"/>
    <col min="771" max="784" width="2.875" style="7" customWidth="1"/>
    <col min="785" max="785" width="2.625" style="7" customWidth="1"/>
    <col min="786" max="786" width="4.5" style="7" customWidth="1"/>
    <col min="787" max="787" width="5.375" style="7" customWidth="1"/>
    <col min="788" max="789" width="7.875" style="7" customWidth="1"/>
    <col min="790" max="790" width="15.75" style="7" customWidth="1"/>
    <col min="791" max="1023" width="9" style="7" customWidth="1"/>
    <col min="1024" max="1026" width="2.75" style="7" customWidth="1"/>
    <col min="1027" max="1040" width="2.875" style="7" customWidth="1"/>
    <col min="1041" max="1041" width="2.625" style="7" customWidth="1"/>
    <col min="1042" max="1042" width="4.5" style="7" customWidth="1"/>
    <col min="1043" max="1043" width="5.375" style="7" customWidth="1"/>
    <col min="1044" max="1045" width="7.875" style="7" customWidth="1"/>
    <col min="1046" max="1046" width="15.75" style="7" customWidth="1"/>
    <col min="1047" max="1279" width="9" style="7" customWidth="1"/>
    <col min="1280" max="1282" width="2.75" style="7" customWidth="1"/>
    <col min="1283" max="1296" width="2.875" style="7" customWidth="1"/>
    <col min="1297" max="1297" width="2.625" style="7" customWidth="1"/>
    <col min="1298" max="1298" width="4.5" style="7" customWidth="1"/>
    <col min="1299" max="1299" width="5.375" style="7" customWidth="1"/>
    <col min="1300" max="1301" width="7.875" style="7" customWidth="1"/>
    <col min="1302" max="1302" width="15.75" style="7" customWidth="1"/>
    <col min="1303" max="1535" width="9" style="7" customWidth="1"/>
    <col min="1536" max="1538" width="2.75" style="7" customWidth="1"/>
    <col min="1539" max="1552" width="2.875" style="7" customWidth="1"/>
    <col min="1553" max="1553" width="2.625" style="7" customWidth="1"/>
    <col min="1554" max="1554" width="4.5" style="7" customWidth="1"/>
    <col min="1555" max="1555" width="5.375" style="7" customWidth="1"/>
    <col min="1556" max="1557" width="7.875" style="7" customWidth="1"/>
    <col min="1558" max="1558" width="15.75" style="7" customWidth="1"/>
    <col min="1559" max="1791" width="9" style="7" customWidth="1"/>
    <col min="1792" max="1794" width="2.75" style="7" customWidth="1"/>
    <col min="1795" max="1808" width="2.875" style="7" customWidth="1"/>
    <col min="1809" max="1809" width="2.625" style="7" customWidth="1"/>
    <col min="1810" max="1810" width="4.5" style="7" customWidth="1"/>
    <col min="1811" max="1811" width="5.375" style="7" customWidth="1"/>
    <col min="1812" max="1813" width="7.875" style="7" customWidth="1"/>
    <col min="1814" max="1814" width="15.75" style="7" customWidth="1"/>
    <col min="1815" max="2047" width="9" style="7" customWidth="1"/>
    <col min="2048" max="2050" width="2.75" style="7" customWidth="1"/>
    <col min="2051" max="2064" width="2.875" style="7" customWidth="1"/>
    <col min="2065" max="2065" width="2.625" style="7" customWidth="1"/>
    <col min="2066" max="2066" width="4.5" style="7" customWidth="1"/>
    <col min="2067" max="2067" width="5.375" style="7" customWidth="1"/>
    <col min="2068" max="2069" width="7.875" style="7" customWidth="1"/>
    <col min="2070" max="2070" width="15.75" style="7" customWidth="1"/>
    <col min="2071" max="2303" width="9" style="7" customWidth="1"/>
    <col min="2304" max="2306" width="2.75" style="7" customWidth="1"/>
    <col min="2307" max="2320" width="2.875" style="7" customWidth="1"/>
    <col min="2321" max="2321" width="2.625" style="7" customWidth="1"/>
    <col min="2322" max="2322" width="4.5" style="7" customWidth="1"/>
    <col min="2323" max="2323" width="5.375" style="7" customWidth="1"/>
    <col min="2324" max="2325" width="7.875" style="7" customWidth="1"/>
    <col min="2326" max="2326" width="15.75" style="7" customWidth="1"/>
    <col min="2327" max="2559" width="9" style="7" customWidth="1"/>
    <col min="2560" max="2562" width="2.75" style="7" customWidth="1"/>
    <col min="2563" max="2576" width="2.875" style="7" customWidth="1"/>
    <col min="2577" max="2577" width="2.625" style="7" customWidth="1"/>
    <col min="2578" max="2578" width="4.5" style="7" customWidth="1"/>
    <col min="2579" max="2579" width="5.375" style="7" customWidth="1"/>
    <col min="2580" max="2581" width="7.875" style="7" customWidth="1"/>
    <col min="2582" max="2582" width="15.75" style="7" customWidth="1"/>
    <col min="2583" max="2815" width="9" style="7" customWidth="1"/>
    <col min="2816" max="2818" width="2.75" style="7" customWidth="1"/>
    <col min="2819" max="2832" width="2.875" style="7" customWidth="1"/>
    <col min="2833" max="2833" width="2.625" style="7" customWidth="1"/>
    <col min="2834" max="2834" width="4.5" style="7" customWidth="1"/>
    <col min="2835" max="2835" width="5.375" style="7" customWidth="1"/>
    <col min="2836" max="2837" width="7.875" style="7" customWidth="1"/>
    <col min="2838" max="2838" width="15.75" style="7" customWidth="1"/>
    <col min="2839" max="3071" width="9" style="7" customWidth="1"/>
    <col min="3072" max="3074" width="2.75" style="7" customWidth="1"/>
    <col min="3075" max="3088" width="2.875" style="7" customWidth="1"/>
    <col min="3089" max="3089" width="2.625" style="7" customWidth="1"/>
    <col min="3090" max="3090" width="4.5" style="7" customWidth="1"/>
    <col min="3091" max="3091" width="5.375" style="7" customWidth="1"/>
    <col min="3092" max="3093" width="7.875" style="7" customWidth="1"/>
    <col min="3094" max="3094" width="15.75" style="7" customWidth="1"/>
    <col min="3095" max="3327" width="9" style="7" customWidth="1"/>
    <col min="3328" max="3330" width="2.75" style="7" customWidth="1"/>
    <col min="3331" max="3344" width="2.875" style="7" customWidth="1"/>
    <col min="3345" max="3345" width="2.625" style="7" customWidth="1"/>
    <col min="3346" max="3346" width="4.5" style="7" customWidth="1"/>
    <col min="3347" max="3347" width="5.375" style="7" customWidth="1"/>
    <col min="3348" max="3349" width="7.875" style="7" customWidth="1"/>
    <col min="3350" max="3350" width="15.75" style="7" customWidth="1"/>
    <col min="3351" max="3583" width="9" style="7" customWidth="1"/>
    <col min="3584" max="3586" width="2.75" style="7" customWidth="1"/>
    <col min="3587" max="3600" width="2.875" style="7" customWidth="1"/>
    <col min="3601" max="3601" width="2.625" style="7" customWidth="1"/>
    <col min="3602" max="3602" width="4.5" style="7" customWidth="1"/>
    <col min="3603" max="3603" width="5.375" style="7" customWidth="1"/>
    <col min="3604" max="3605" width="7.875" style="7" customWidth="1"/>
    <col min="3606" max="3606" width="15.75" style="7" customWidth="1"/>
    <col min="3607" max="3839" width="9" style="7" customWidth="1"/>
    <col min="3840" max="3842" width="2.75" style="7" customWidth="1"/>
    <col min="3843" max="3856" width="2.875" style="7" customWidth="1"/>
    <col min="3857" max="3857" width="2.625" style="7" customWidth="1"/>
    <col min="3858" max="3858" width="4.5" style="7" customWidth="1"/>
    <col min="3859" max="3859" width="5.375" style="7" customWidth="1"/>
    <col min="3860" max="3861" width="7.875" style="7" customWidth="1"/>
    <col min="3862" max="3862" width="15.75" style="7" customWidth="1"/>
    <col min="3863" max="4095" width="9" style="7" customWidth="1"/>
    <col min="4096" max="4098" width="2.75" style="7" customWidth="1"/>
    <col min="4099" max="4112" width="2.875" style="7" customWidth="1"/>
    <col min="4113" max="4113" width="2.625" style="7" customWidth="1"/>
    <col min="4114" max="4114" width="4.5" style="7" customWidth="1"/>
    <col min="4115" max="4115" width="5.375" style="7" customWidth="1"/>
    <col min="4116" max="4117" width="7.875" style="7" customWidth="1"/>
    <col min="4118" max="4118" width="15.75" style="7" customWidth="1"/>
    <col min="4119" max="4351" width="9" style="7" customWidth="1"/>
    <col min="4352" max="4354" width="2.75" style="7" customWidth="1"/>
    <col min="4355" max="4368" width="2.875" style="7" customWidth="1"/>
    <col min="4369" max="4369" width="2.625" style="7" customWidth="1"/>
    <col min="4370" max="4370" width="4.5" style="7" customWidth="1"/>
    <col min="4371" max="4371" width="5.375" style="7" customWidth="1"/>
    <col min="4372" max="4373" width="7.875" style="7" customWidth="1"/>
    <col min="4374" max="4374" width="15.75" style="7" customWidth="1"/>
    <col min="4375" max="4607" width="9" style="7" customWidth="1"/>
    <col min="4608" max="4610" width="2.75" style="7" customWidth="1"/>
    <col min="4611" max="4624" width="2.875" style="7" customWidth="1"/>
    <col min="4625" max="4625" width="2.625" style="7" customWidth="1"/>
    <col min="4626" max="4626" width="4.5" style="7" customWidth="1"/>
    <col min="4627" max="4627" width="5.375" style="7" customWidth="1"/>
    <col min="4628" max="4629" width="7.875" style="7" customWidth="1"/>
    <col min="4630" max="4630" width="15.75" style="7" customWidth="1"/>
    <col min="4631" max="4863" width="9" style="7" customWidth="1"/>
    <col min="4864" max="4866" width="2.75" style="7" customWidth="1"/>
    <col min="4867" max="4880" width="2.875" style="7" customWidth="1"/>
    <col min="4881" max="4881" width="2.625" style="7" customWidth="1"/>
    <col min="4882" max="4882" width="4.5" style="7" customWidth="1"/>
    <col min="4883" max="4883" width="5.375" style="7" customWidth="1"/>
    <col min="4884" max="4885" width="7.875" style="7" customWidth="1"/>
    <col min="4886" max="4886" width="15.75" style="7" customWidth="1"/>
    <col min="4887" max="5119" width="9" style="7" customWidth="1"/>
    <col min="5120" max="5122" width="2.75" style="7" customWidth="1"/>
    <col min="5123" max="5136" width="2.875" style="7" customWidth="1"/>
    <col min="5137" max="5137" width="2.625" style="7" customWidth="1"/>
    <col min="5138" max="5138" width="4.5" style="7" customWidth="1"/>
    <col min="5139" max="5139" width="5.375" style="7" customWidth="1"/>
    <col min="5140" max="5141" width="7.875" style="7" customWidth="1"/>
    <col min="5142" max="5142" width="15.75" style="7" customWidth="1"/>
    <col min="5143" max="5375" width="9" style="7" customWidth="1"/>
    <col min="5376" max="5378" width="2.75" style="7" customWidth="1"/>
    <col min="5379" max="5392" width="2.875" style="7" customWidth="1"/>
    <col min="5393" max="5393" width="2.625" style="7" customWidth="1"/>
    <col min="5394" max="5394" width="4.5" style="7" customWidth="1"/>
    <col min="5395" max="5395" width="5.375" style="7" customWidth="1"/>
    <col min="5396" max="5397" width="7.875" style="7" customWidth="1"/>
    <col min="5398" max="5398" width="15.75" style="7" customWidth="1"/>
    <col min="5399" max="5631" width="9" style="7" customWidth="1"/>
    <col min="5632" max="5634" width="2.75" style="7" customWidth="1"/>
    <col min="5635" max="5648" width="2.875" style="7" customWidth="1"/>
    <col min="5649" max="5649" width="2.625" style="7" customWidth="1"/>
    <col min="5650" max="5650" width="4.5" style="7" customWidth="1"/>
    <col min="5651" max="5651" width="5.375" style="7" customWidth="1"/>
    <col min="5652" max="5653" width="7.875" style="7" customWidth="1"/>
    <col min="5654" max="5654" width="15.75" style="7" customWidth="1"/>
    <col min="5655" max="5887" width="9" style="7" customWidth="1"/>
    <col min="5888" max="5890" width="2.75" style="7" customWidth="1"/>
    <col min="5891" max="5904" width="2.875" style="7" customWidth="1"/>
    <col min="5905" max="5905" width="2.625" style="7" customWidth="1"/>
    <col min="5906" max="5906" width="4.5" style="7" customWidth="1"/>
    <col min="5907" max="5907" width="5.375" style="7" customWidth="1"/>
    <col min="5908" max="5909" width="7.875" style="7" customWidth="1"/>
    <col min="5910" max="5910" width="15.75" style="7" customWidth="1"/>
    <col min="5911" max="6143" width="9" style="7" customWidth="1"/>
    <col min="6144" max="6146" width="2.75" style="7" customWidth="1"/>
    <col min="6147" max="6160" width="2.875" style="7" customWidth="1"/>
    <col min="6161" max="6161" width="2.625" style="7" customWidth="1"/>
    <col min="6162" max="6162" width="4.5" style="7" customWidth="1"/>
    <col min="6163" max="6163" width="5.375" style="7" customWidth="1"/>
    <col min="6164" max="6165" width="7.875" style="7" customWidth="1"/>
    <col min="6166" max="6166" width="15.75" style="7" customWidth="1"/>
    <col min="6167" max="6399" width="9" style="7" customWidth="1"/>
    <col min="6400" max="6402" width="2.75" style="7" customWidth="1"/>
    <col min="6403" max="6416" width="2.875" style="7" customWidth="1"/>
    <col min="6417" max="6417" width="2.625" style="7" customWidth="1"/>
    <col min="6418" max="6418" width="4.5" style="7" customWidth="1"/>
    <col min="6419" max="6419" width="5.375" style="7" customWidth="1"/>
    <col min="6420" max="6421" width="7.875" style="7" customWidth="1"/>
    <col min="6422" max="6422" width="15.75" style="7" customWidth="1"/>
    <col min="6423" max="6655" width="9" style="7" customWidth="1"/>
    <col min="6656" max="6658" width="2.75" style="7" customWidth="1"/>
    <col min="6659" max="6672" width="2.875" style="7" customWidth="1"/>
    <col min="6673" max="6673" width="2.625" style="7" customWidth="1"/>
    <col min="6674" max="6674" width="4.5" style="7" customWidth="1"/>
    <col min="6675" max="6675" width="5.375" style="7" customWidth="1"/>
    <col min="6676" max="6677" width="7.875" style="7" customWidth="1"/>
    <col min="6678" max="6678" width="15.75" style="7" customWidth="1"/>
    <col min="6679" max="6911" width="9" style="7" customWidth="1"/>
    <col min="6912" max="6914" width="2.75" style="7" customWidth="1"/>
    <col min="6915" max="6928" width="2.875" style="7" customWidth="1"/>
    <col min="6929" max="6929" width="2.625" style="7" customWidth="1"/>
    <col min="6930" max="6930" width="4.5" style="7" customWidth="1"/>
    <col min="6931" max="6931" width="5.375" style="7" customWidth="1"/>
    <col min="6932" max="6933" width="7.875" style="7" customWidth="1"/>
    <col min="6934" max="6934" width="15.75" style="7" customWidth="1"/>
    <col min="6935" max="7167" width="9" style="7" customWidth="1"/>
    <col min="7168" max="7170" width="2.75" style="7" customWidth="1"/>
    <col min="7171" max="7184" width="2.875" style="7" customWidth="1"/>
    <col min="7185" max="7185" width="2.625" style="7" customWidth="1"/>
    <col min="7186" max="7186" width="4.5" style="7" customWidth="1"/>
    <col min="7187" max="7187" width="5.375" style="7" customWidth="1"/>
    <col min="7188" max="7189" width="7.875" style="7" customWidth="1"/>
    <col min="7190" max="7190" width="15.75" style="7" customWidth="1"/>
    <col min="7191" max="7423" width="9" style="7" customWidth="1"/>
    <col min="7424" max="7426" width="2.75" style="7" customWidth="1"/>
    <col min="7427" max="7440" width="2.875" style="7" customWidth="1"/>
    <col min="7441" max="7441" width="2.625" style="7" customWidth="1"/>
    <col min="7442" max="7442" width="4.5" style="7" customWidth="1"/>
    <col min="7443" max="7443" width="5.375" style="7" customWidth="1"/>
    <col min="7444" max="7445" width="7.875" style="7" customWidth="1"/>
    <col min="7446" max="7446" width="15.75" style="7" customWidth="1"/>
    <col min="7447" max="7679" width="9" style="7" customWidth="1"/>
    <col min="7680" max="7682" width="2.75" style="7" customWidth="1"/>
    <col min="7683" max="7696" width="2.875" style="7" customWidth="1"/>
    <col min="7697" max="7697" width="2.625" style="7" customWidth="1"/>
    <col min="7698" max="7698" width="4.5" style="7" customWidth="1"/>
    <col min="7699" max="7699" width="5.375" style="7" customWidth="1"/>
    <col min="7700" max="7701" width="7.875" style="7" customWidth="1"/>
    <col min="7702" max="7702" width="15.75" style="7" customWidth="1"/>
    <col min="7703" max="7935" width="9" style="7" customWidth="1"/>
    <col min="7936" max="7938" width="2.75" style="7" customWidth="1"/>
    <col min="7939" max="7952" width="2.875" style="7" customWidth="1"/>
    <col min="7953" max="7953" width="2.625" style="7" customWidth="1"/>
    <col min="7954" max="7954" width="4.5" style="7" customWidth="1"/>
    <col min="7955" max="7955" width="5.375" style="7" customWidth="1"/>
    <col min="7956" max="7957" width="7.875" style="7" customWidth="1"/>
    <col min="7958" max="7958" width="15.75" style="7" customWidth="1"/>
    <col min="7959" max="8191" width="9" style="7" customWidth="1"/>
    <col min="8192" max="8194" width="2.75" style="7" customWidth="1"/>
    <col min="8195" max="8208" width="2.875" style="7" customWidth="1"/>
    <col min="8209" max="8209" width="2.625" style="7" customWidth="1"/>
    <col min="8210" max="8210" width="4.5" style="7" customWidth="1"/>
    <col min="8211" max="8211" width="5.375" style="7" customWidth="1"/>
    <col min="8212" max="8213" width="7.875" style="7" customWidth="1"/>
    <col min="8214" max="8214" width="15.75" style="7" customWidth="1"/>
    <col min="8215" max="8447" width="9" style="7" customWidth="1"/>
    <col min="8448" max="8450" width="2.75" style="7" customWidth="1"/>
    <col min="8451" max="8464" width="2.875" style="7" customWidth="1"/>
    <col min="8465" max="8465" width="2.625" style="7" customWidth="1"/>
    <col min="8466" max="8466" width="4.5" style="7" customWidth="1"/>
    <col min="8467" max="8467" width="5.375" style="7" customWidth="1"/>
    <col min="8468" max="8469" width="7.875" style="7" customWidth="1"/>
    <col min="8470" max="8470" width="15.75" style="7" customWidth="1"/>
    <col min="8471" max="8703" width="9" style="7" customWidth="1"/>
    <col min="8704" max="8706" width="2.75" style="7" customWidth="1"/>
    <col min="8707" max="8720" width="2.875" style="7" customWidth="1"/>
    <col min="8721" max="8721" width="2.625" style="7" customWidth="1"/>
    <col min="8722" max="8722" width="4.5" style="7" customWidth="1"/>
    <col min="8723" max="8723" width="5.375" style="7" customWidth="1"/>
    <col min="8724" max="8725" width="7.875" style="7" customWidth="1"/>
    <col min="8726" max="8726" width="15.75" style="7" customWidth="1"/>
    <col min="8727" max="8959" width="9" style="7" customWidth="1"/>
    <col min="8960" max="8962" width="2.75" style="7" customWidth="1"/>
    <col min="8963" max="8976" width="2.875" style="7" customWidth="1"/>
    <col min="8977" max="8977" width="2.625" style="7" customWidth="1"/>
    <col min="8978" max="8978" width="4.5" style="7" customWidth="1"/>
    <col min="8979" max="8979" width="5.375" style="7" customWidth="1"/>
    <col min="8980" max="8981" width="7.875" style="7" customWidth="1"/>
    <col min="8982" max="8982" width="15.75" style="7" customWidth="1"/>
    <col min="8983" max="9215" width="9" style="7" customWidth="1"/>
    <col min="9216" max="9218" width="2.75" style="7" customWidth="1"/>
    <col min="9219" max="9232" width="2.875" style="7" customWidth="1"/>
    <col min="9233" max="9233" width="2.625" style="7" customWidth="1"/>
    <col min="9234" max="9234" width="4.5" style="7" customWidth="1"/>
    <col min="9235" max="9235" width="5.375" style="7" customWidth="1"/>
    <col min="9236" max="9237" width="7.875" style="7" customWidth="1"/>
    <col min="9238" max="9238" width="15.75" style="7" customWidth="1"/>
    <col min="9239" max="9471" width="9" style="7" customWidth="1"/>
    <col min="9472" max="9474" width="2.75" style="7" customWidth="1"/>
    <col min="9475" max="9488" width="2.875" style="7" customWidth="1"/>
    <col min="9489" max="9489" width="2.625" style="7" customWidth="1"/>
    <col min="9490" max="9490" width="4.5" style="7" customWidth="1"/>
    <col min="9491" max="9491" width="5.375" style="7" customWidth="1"/>
    <col min="9492" max="9493" width="7.875" style="7" customWidth="1"/>
    <col min="9494" max="9494" width="15.75" style="7" customWidth="1"/>
    <col min="9495" max="9727" width="9" style="7" customWidth="1"/>
    <col min="9728" max="9730" width="2.75" style="7" customWidth="1"/>
    <col min="9731" max="9744" width="2.875" style="7" customWidth="1"/>
    <col min="9745" max="9745" width="2.625" style="7" customWidth="1"/>
    <col min="9746" max="9746" width="4.5" style="7" customWidth="1"/>
    <col min="9747" max="9747" width="5.375" style="7" customWidth="1"/>
    <col min="9748" max="9749" width="7.875" style="7" customWidth="1"/>
    <col min="9750" max="9750" width="15.75" style="7" customWidth="1"/>
    <col min="9751" max="9983" width="9" style="7" customWidth="1"/>
    <col min="9984" max="9986" width="2.75" style="7" customWidth="1"/>
    <col min="9987" max="10000" width="2.875" style="7" customWidth="1"/>
    <col min="10001" max="10001" width="2.625" style="7" customWidth="1"/>
    <col min="10002" max="10002" width="4.5" style="7" customWidth="1"/>
    <col min="10003" max="10003" width="5.375" style="7" customWidth="1"/>
    <col min="10004" max="10005" width="7.875" style="7" customWidth="1"/>
    <col min="10006" max="10006" width="15.75" style="7" customWidth="1"/>
    <col min="10007" max="10239" width="9" style="7" customWidth="1"/>
    <col min="10240" max="10242" width="2.75" style="7" customWidth="1"/>
    <col min="10243" max="10256" width="2.875" style="7" customWidth="1"/>
    <col min="10257" max="10257" width="2.625" style="7" customWidth="1"/>
    <col min="10258" max="10258" width="4.5" style="7" customWidth="1"/>
    <col min="10259" max="10259" width="5.375" style="7" customWidth="1"/>
    <col min="10260" max="10261" width="7.875" style="7" customWidth="1"/>
    <col min="10262" max="10262" width="15.75" style="7" customWidth="1"/>
    <col min="10263" max="10495" width="9" style="7" customWidth="1"/>
    <col min="10496" max="10498" width="2.75" style="7" customWidth="1"/>
    <col min="10499" max="10512" width="2.875" style="7" customWidth="1"/>
    <col min="10513" max="10513" width="2.625" style="7" customWidth="1"/>
    <col min="10514" max="10514" width="4.5" style="7" customWidth="1"/>
    <col min="10515" max="10515" width="5.375" style="7" customWidth="1"/>
    <col min="10516" max="10517" width="7.875" style="7" customWidth="1"/>
    <col min="10518" max="10518" width="15.75" style="7" customWidth="1"/>
    <col min="10519" max="10751" width="9" style="7" customWidth="1"/>
    <col min="10752" max="10754" width="2.75" style="7" customWidth="1"/>
    <col min="10755" max="10768" width="2.875" style="7" customWidth="1"/>
    <col min="10769" max="10769" width="2.625" style="7" customWidth="1"/>
    <col min="10770" max="10770" width="4.5" style="7" customWidth="1"/>
    <col min="10771" max="10771" width="5.375" style="7" customWidth="1"/>
    <col min="10772" max="10773" width="7.875" style="7" customWidth="1"/>
    <col min="10774" max="10774" width="15.75" style="7" customWidth="1"/>
    <col min="10775" max="11007" width="9" style="7" customWidth="1"/>
    <col min="11008" max="11010" width="2.75" style="7" customWidth="1"/>
    <col min="11011" max="11024" width="2.875" style="7" customWidth="1"/>
    <col min="11025" max="11025" width="2.625" style="7" customWidth="1"/>
    <col min="11026" max="11026" width="4.5" style="7" customWidth="1"/>
    <col min="11027" max="11027" width="5.375" style="7" customWidth="1"/>
    <col min="11028" max="11029" width="7.875" style="7" customWidth="1"/>
    <col min="11030" max="11030" width="15.75" style="7" customWidth="1"/>
    <col min="11031" max="11263" width="9" style="7" customWidth="1"/>
    <col min="11264" max="11266" width="2.75" style="7" customWidth="1"/>
    <col min="11267" max="11280" width="2.875" style="7" customWidth="1"/>
    <col min="11281" max="11281" width="2.625" style="7" customWidth="1"/>
    <col min="11282" max="11282" width="4.5" style="7" customWidth="1"/>
    <col min="11283" max="11283" width="5.375" style="7" customWidth="1"/>
    <col min="11284" max="11285" width="7.875" style="7" customWidth="1"/>
    <col min="11286" max="11286" width="15.75" style="7" customWidth="1"/>
    <col min="11287" max="11519" width="9" style="7" customWidth="1"/>
    <col min="11520" max="11522" width="2.75" style="7" customWidth="1"/>
    <col min="11523" max="11536" width="2.875" style="7" customWidth="1"/>
    <col min="11537" max="11537" width="2.625" style="7" customWidth="1"/>
    <col min="11538" max="11538" width="4.5" style="7" customWidth="1"/>
    <col min="11539" max="11539" width="5.375" style="7" customWidth="1"/>
    <col min="11540" max="11541" width="7.875" style="7" customWidth="1"/>
    <col min="11542" max="11542" width="15.75" style="7" customWidth="1"/>
    <col min="11543" max="11775" width="9" style="7" customWidth="1"/>
    <col min="11776" max="11778" width="2.75" style="7" customWidth="1"/>
    <col min="11779" max="11792" width="2.875" style="7" customWidth="1"/>
    <col min="11793" max="11793" width="2.625" style="7" customWidth="1"/>
    <col min="11794" max="11794" width="4.5" style="7" customWidth="1"/>
    <col min="11795" max="11795" width="5.375" style="7" customWidth="1"/>
    <col min="11796" max="11797" width="7.875" style="7" customWidth="1"/>
    <col min="11798" max="11798" width="15.75" style="7" customWidth="1"/>
    <col min="11799" max="12031" width="9" style="7" customWidth="1"/>
    <col min="12032" max="12034" width="2.75" style="7" customWidth="1"/>
    <col min="12035" max="12048" width="2.875" style="7" customWidth="1"/>
    <col min="12049" max="12049" width="2.625" style="7" customWidth="1"/>
    <col min="12050" max="12050" width="4.5" style="7" customWidth="1"/>
    <col min="12051" max="12051" width="5.375" style="7" customWidth="1"/>
    <col min="12052" max="12053" width="7.875" style="7" customWidth="1"/>
    <col min="12054" max="12054" width="15.75" style="7" customWidth="1"/>
    <col min="12055" max="12287" width="9" style="7" customWidth="1"/>
    <col min="12288" max="12290" width="2.75" style="7" customWidth="1"/>
    <col min="12291" max="12304" width="2.875" style="7" customWidth="1"/>
    <col min="12305" max="12305" width="2.625" style="7" customWidth="1"/>
    <col min="12306" max="12306" width="4.5" style="7" customWidth="1"/>
    <col min="12307" max="12307" width="5.375" style="7" customWidth="1"/>
    <col min="12308" max="12309" width="7.875" style="7" customWidth="1"/>
    <col min="12310" max="12310" width="15.75" style="7" customWidth="1"/>
    <col min="12311" max="12543" width="9" style="7" customWidth="1"/>
    <col min="12544" max="12546" width="2.75" style="7" customWidth="1"/>
    <col min="12547" max="12560" width="2.875" style="7" customWidth="1"/>
    <col min="12561" max="12561" width="2.625" style="7" customWidth="1"/>
    <col min="12562" max="12562" width="4.5" style="7" customWidth="1"/>
    <col min="12563" max="12563" width="5.375" style="7" customWidth="1"/>
    <col min="12564" max="12565" width="7.875" style="7" customWidth="1"/>
    <col min="12566" max="12566" width="15.75" style="7" customWidth="1"/>
    <col min="12567" max="12799" width="9" style="7" customWidth="1"/>
    <col min="12800" max="12802" width="2.75" style="7" customWidth="1"/>
    <col min="12803" max="12816" width="2.875" style="7" customWidth="1"/>
    <col min="12817" max="12817" width="2.625" style="7" customWidth="1"/>
    <col min="12818" max="12818" width="4.5" style="7" customWidth="1"/>
    <col min="12819" max="12819" width="5.375" style="7" customWidth="1"/>
    <col min="12820" max="12821" width="7.875" style="7" customWidth="1"/>
    <col min="12822" max="12822" width="15.75" style="7" customWidth="1"/>
    <col min="12823" max="13055" width="9" style="7" customWidth="1"/>
    <col min="13056" max="13058" width="2.75" style="7" customWidth="1"/>
    <col min="13059" max="13072" width="2.875" style="7" customWidth="1"/>
    <col min="13073" max="13073" width="2.625" style="7" customWidth="1"/>
    <col min="13074" max="13074" width="4.5" style="7" customWidth="1"/>
    <col min="13075" max="13075" width="5.375" style="7" customWidth="1"/>
    <col min="13076" max="13077" width="7.875" style="7" customWidth="1"/>
    <col min="13078" max="13078" width="15.75" style="7" customWidth="1"/>
    <col min="13079" max="13311" width="9" style="7" customWidth="1"/>
    <col min="13312" max="13314" width="2.75" style="7" customWidth="1"/>
    <col min="13315" max="13328" width="2.875" style="7" customWidth="1"/>
    <col min="13329" max="13329" width="2.625" style="7" customWidth="1"/>
    <col min="13330" max="13330" width="4.5" style="7" customWidth="1"/>
    <col min="13331" max="13331" width="5.375" style="7" customWidth="1"/>
    <col min="13332" max="13333" width="7.875" style="7" customWidth="1"/>
    <col min="13334" max="13334" width="15.75" style="7" customWidth="1"/>
    <col min="13335" max="13567" width="9" style="7" customWidth="1"/>
    <col min="13568" max="13570" width="2.75" style="7" customWidth="1"/>
    <col min="13571" max="13584" width="2.875" style="7" customWidth="1"/>
    <col min="13585" max="13585" width="2.625" style="7" customWidth="1"/>
    <col min="13586" max="13586" width="4.5" style="7" customWidth="1"/>
    <col min="13587" max="13587" width="5.375" style="7" customWidth="1"/>
    <col min="13588" max="13589" width="7.875" style="7" customWidth="1"/>
    <col min="13590" max="13590" width="15.75" style="7" customWidth="1"/>
    <col min="13591" max="13823" width="9" style="7" customWidth="1"/>
    <col min="13824" max="13826" width="2.75" style="7" customWidth="1"/>
    <col min="13827" max="13840" width="2.875" style="7" customWidth="1"/>
    <col min="13841" max="13841" width="2.625" style="7" customWidth="1"/>
    <col min="13842" max="13842" width="4.5" style="7" customWidth="1"/>
    <col min="13843" max="13843" width="5.375" style="7" customWidth="1"/>
    <col min="13844" max="13845" width="7.875" style="7" customWidth="1"/>
    <col min="13846" max="13846" width="15.75" style="7" customWidth="1"/>
    <col min="13847" max="14079" width="9" style="7" customWidth="1"/>
    <col min="14080" max="14082" width="2.75" style="7" customWidth="1"/>
    <col min="14083" max="14096" width="2.875" style="7" customWidth="1"/>
    <col min="14097" max="14097" width="2.625" style="7" customWidth="1"/>
    <col min="14098" max="14098" width="4.5" style="7" customWidth="1"/>
    <col min="14099" max="14099" width="5.375" style="7" customWidth="1"/>
    <col min="14100" max="14101" width="7.875" style="7" customWidth="1"/>
    <col min="14102" max="14102" width="15.75" style="7" customWidth="1"/>
    <col min="14103" max="14335" width="9" style="7" customWidth="1"/>
    <col min="14336" max="14338" width="2.75" style="7" customWidth="1"/>
    <col min="14339" max="14352" width="2.875" style="7" customWidth="1"/>
    <col min="14353" max="14353" width="2.625" style="7" customWidth="1"/>
    <col min="14354" max="14354" width="4.5" style="7" customWidth="1"/>
    <col min="14355" max="14355" width="5.375" style="7" customWidth="1"/>
    <col min="14356" max="14357" width="7.875" style="7" customWidth="1"/>
    <col min="14358" max="14358" width="15.75" style="7" customWidth="1"/>
    <col min="14359" max="14591" width="9" style="7" customWidth="1"/>
    <col min="14592" max="14594" width="2.75" style="7" customWidth="1"/>
    <col min="14595" max="14608" width="2.875" style="7" customWidth="1"/>
    <col min="14609" max="14609" width="2.625" style="7" customWidth="1"/>
    <col min="14610" max="14610" width="4.5" style="7" customWidth="1"/>
    <col min="14611" max="14611" width="5.375" style="7" customWidth="1"/>
    <col min="14612" max="14613" width="7.875" style="7" customWidth="1"/>
    <col min="14614" max="14614" width="15.75" style="7" customWidth="1"/>
    <col min="14615" max="14847" width="9" style="7" customWidth="1"/>
    <col min="14848" max="14850" width="2.75" style="7" customWidth="1"/>
    <col min="14851" max="14864" width="2.875" style="7" customWidth="1"/>
    <col min="14865" max="14865" width="2.625" style="7" customWidth="1"/>
    <col min="14866" max="14866" width="4.5" style="7" customWidth="1"/>
    <col min="14867" max="14867" width="5.375" style="7" customWidth="1"/>
    <col min="14868" max="14869" width="7.875" style="7" customWidth="1"/>
    <col min="14870" max="14870" width="15.75" style="7" customWidth="1"/>
    <col min="14871" max="15103" width="9" style="7" customWidth="1"/>
    <col min="15104" max="15106" width="2.75" style="7" customWidth="1"/>
    <col min="15107" max="15120" width="2.875" style="7" customWidth="1"/>
    <col min="15121" max="15121" width="2.625" style="7" customWidth="1"/>
    <col min="15122" max="15122" width="4.5" style="7" customWidth="1"/>
    <col min="15123" max="15123" width="5.375" style="7" customWidth="1"/>
    <col min="15124" max="15125" width="7.875" style="7" customWidth="1"/>
    <col min="15126" max="15126" width="15.75" style="7" customWidth="1"/>
    <col min="15127" max="15359" width="9" style="7" customWidth="1"/>
    <col min="15360" max="15362" width="2.75" style="7" customWidth="1"/>
    <col min="15363" max="15376" width="2.875" style="7" customWidth="1"/>
    <col min="15377" max="15377" width="2.625" style="7" customWidth="1"/>
    <col min="15378" max="15378" width="4.5" style="7" customWidth="1"/>
    <col min="15379" max="15379" width="5.375" style="7" customWidth="1"/>
    <col min="15380" max="15381" width="7.875" style="7" customWidth="1"/>
    <col min="15382" max="15382" width="15.75" style="7" customWidth="1"/>
    <col min="15383" max="15615" width="9" style="7" customWidth="1"/>
    <col min="15616" max="15618" width="2.75" style="7" customWidth="1"/>
    <col min="15619" max="15632" width="2.875" style="7" customWidth="1"/>
    <col min="15633" max="15633" width="2.625" style="7" customWidth="1"/>
    <col min="15634" max="15634" width="4.5" style="7" customWidth="1"/>
    <col min="15635" max="15635" width="5.375" style="7" customWidth="1"/>
    <col min="15636" max="15637" width="7.875" style="7" customWidth="1"/>
    <col min="15638" max="15638" width="15.75" style="7" customWidth="1"/>
    <col min="15639" max="15871" width="9" style="7" customWidth="1"/>
    <col min="15872" max="15874" width="2.75" style="7" customWidth="1"/>
    <col min="15875" max="15888" width="2.875" style="7" customWidth="1"/>
    <col min="15889" max="15889" width="2.625" style="7" customWidth="1"/>
    <col min="15890" max="15890" width="4.5" style="7" customWidth="1"/>
    <col min="15891" max="15891" width="5.375" style="7" customWidth="1"/>
    <col min="15892" max="15893" width="7.875" style="7" customWidth="1"/>
    <col min="15894" max="15894" width="15.75" style="7" customWidth="1"/>
    <col min="15895" max="16127" width="9" style="7" customWidth="1"/>
    <col min="16128" max="16130" width="2.75" style="7" customWidth="1"/>
    <col min="16131" max="16144" width="2.875" style="7" customWidth="1"/>
    <col min="16145" max="16145" width="2.625" style="7" customWidth="1"/>
    <col min="16146" max="16146" width="4.5" style="7" customWidth="1"/>
    <col min="16147" max="16147" width="5.375" style="7" customWidth="1"/>
    <col min="16148" max="16149" width="7.875" style="7" customWidth="1"/>
    <col min="16150" max="16150" width="15.75" style="7" customWidth="1"/>
    <col min="16151" max="16384" width="9" style="7" customWidth="1"/>
  </cols>
  <sheetData>
    <row r="1" spans="2:24" s="64" customFormat="1" ht="46.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2:24" s="64" customFormat="1" ht="14.1" customHeight="1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6" t="s">
        <v>0</v>
      </c>
      <c r="X2" s="107"/>
    </row>
    <row r="3" spans="2:24" s="64" customFormat="1" ht="14.1" customHeight="1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06" t="s">
        <v>1</v>
      </c>
      <c r="X3" s="107"/>
    </row>
    <row r="4" spans="2:24" s="64" customFormat="1" ht="8.1" customHeigh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63"/>
      <c r="X4" s="69"/>
    </row>
    <row r="5" spans="2:24" s="63" customFormat="1" ht="27" customHeight="1">
      <c r="B5" s="126" t="s">
        <v>2</v>
      </c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</row>
    <row r="6" spans="2:24" s="63" customFormat="1" ht="8.1" customHeight="1"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</row>
    <row r="7" spans="2:24" s="63" customFormat="1" ht="14.1" customHeight="1">
      <c r="B7" s="21" t="s">
        <v>3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2:24" s="63" customFormat="1" ht="8.1" customHeight="1"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X8" s="3"/>
    </row>
    <row r="9" spans="2:24" s="63" customFormat="1" ht="8.1" customHeight="1"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</row>
    <row r="10" spans="2:24" s="63" customFormat="1" ht="8.1" customHeight="1"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</row>
    <row r="11" spans="2:24" s="63" customFormat="1" ht="27" customHeight="1">
      <c r="B11" s="101" t="s">
        <v>4</v>
      </c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</row>
    <row r="12" spans="2:24" s="63" customFormat="1" ht="8.1" customHeight="1">
      <c r="B12" s="21"/>
      <c r="C12" s="21"/>
      <c r="D12" s="21"/>
      <c r="E12" s="21"/>
      <c r="F12" s="10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2:24" s="63" customFormat="1" ht="14.1" customHeight="1">
      <c r="B13" s="21" t="s">
        <v>5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</row>
    <row r="14" spans="2:24" s="63" customFormat="1" ht="14.1" customHeight="1">
      <c r="B14" s="12" t="s">
        <v>6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2:24" s="63" customFormat="1" ht="8.1" customHeight="1">
      <c r="B15" s="12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2:24" s="63" customFormat="1" ht="8.1" customHeight="1"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45" s="63" customFormat="1" ht="14.1" customHeight="1">
      <c r="B17" s="43" t="s">
        <v>7</v>
      </c>
      <c r="C17" s="15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</row>
    <row r="18" spans="1:45" s="63" customFormat="1" ht="6" customHeight="1">
      <c r="A18" s="46"/>
      <c r="B18" s="47"/>
      <c r="C18" s="48"/>
      <c r="D18" s="65"/>
      <c r="E18" s="65"/>
      <c r="F18" s="65"/>
      <c r="G18" s="65"/>
      <c r="H18" s="47"/>
      <c r="I18" s="47"/>
      <c r="J18" s="49"/>
      <c r="K18" s="49"/>
      <c r="L18" s="49"/>
      <c r="M18" s="49"/>
      <c r="N18" s="49"/>
      <c r="O18" s="49"/>
      <c r="P18" s="49"/>
      <c r="Q18" s="49"/>
      <c r="R18" s="49"/>
      <c r="S18" s="47"/>
      <c r="T18" s="47"/>
      <c r="U18" s="47"/>
      <c r="V18" s="47"/>
      <c r="W18" s="50"/>
      <c r="X18" s="50"/>
      <c r="Y18" s="46"/>
      <c r="Z18" s="51"/>
      <c r="AA18" s="51"/>
      <c r="AB18" s="51"/>
      <c r="AC18" s="51"/>
      <c r="AD18" s="51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</row>
    <row r="19" spans="1:45" s="63" customFormat="1" ht="6" customHeight="1">
      <c r="A19" s="46"/>
      <c r="B19" s="47"/>
      <c r="C19" s="52"/>
      <c r="D19" s="65"/>
      <c r="E19" s="65"/>
      <c r="F19" s="65"/>
      <c r="G19" s="65"/>
      <c r="H19" s="47"/>
      <c r="I19" s="47"/>
      <c r="J19" s="49"/>
      <c r="K19" s="49"/>
      <c r="L19" s="49"/>
      <c r="M19" s="49"/>
      <c r="N19" s="49"/>
      <c r="O19" s="49"/>
      <c r="P19" s="49"/>
      <c r="Q19" s="49"/>
      <c r="R19" s="49"/>
      <c r="S19" s="47"/>
      <c r="T19" s="47"/>
      <c r="U19" s="47"/>
      <c r="V19" s="47"/>
      <c r="W19" s="50"/>
      <c r="X19" s="50"/>
      <c r="Y19" s="46"/>
      <c r="Z19" s="51"/>
      <c r="AA19" s="51"/>
      <c r="AB19" s="51"/>
      <c r="AC19" s="51"/>
      <c r="AD19" s="51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</row>
    <row r="20" spans="1:45" s="63" customFormat="1" ht="14.1" customHeight="1">
      <c r="A20" s="46"/>
      <c r="B20" s="47"/>
      <c r="C20" s="48" t="s">
        <v>8</v>
      </c>
      <c r="D20" s="53" t="s">
        <v>9</v>
      </c>
      <c r="E20" s="65"/>
      <c r="F20" s="65"/>
      <c r="G20" s="65"/>
      <c r="H20" s="47"/>
      <c r="I20" s="47"/>
      <c r="J20" s="49"/>
      <c r="K20" s="49"/>
      <c r="L20" s="49"/>
      <c r="M20" s="49"/>
      <c r="N20" s="49"/>
      <c r="O20" s="49"/>
      <c r="P20" s="49"/>
      <c r="Q20" s="49"/>
      <c r="R20" s="49"/>
      <c r="S20" s="47"/>
      <c r="T20" s="47"/>
      <c r="U20" s="47"/>
      <c r="V20" s="47"/>
      <c r="W20" s="50"/>
      <c r="X20" s="70"/>
      <c r="Y20" s="46"/>
      <c r="Z20" s="51"/>
      <c r="AA20" s="51"/>
      <c r="AB20" s="51"/>
      <c r="AC20" s="51"/>
      <c r="AD20" s="51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</row>
    <row r="21" spans="1:45" s="63" customFormat="1" ht="6" customHeight="1">
      <c r="A21" s="46"/>
      <c r="B21" s="47"/>
      <c r="C21" s="54"/>
      <c r="D21" s="53"/>
      <c r="E21" s="65"/>
      <c r="F21" s="65"/>
      <c r="G21" s="65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50"/>
      <c r="X21" s="71"/>
      <c r="Y21" s="46"/>
      <c r="Z21" s="51"/>
      <c r="AA21" s="51"/>
      <c r="AB21" s="51"/>
      <c r="AC21" s="51"/>
      <c r="AD21" s="51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</row>
    <row r="22" spans="1:45" s="63" customFormat="1" ht="14.1" customHeight="1">
      <c r="A22" s="46"/>
      <c r="B22" s="47"/>
      <c r="C22" s="52"/>
      <c r="D22" s="54" t="s">
        <v>10</v>
      </c>
      <c r="E22" s="65" t="s">
        <v>11</v>
      </c>
      <c r="F22" s="65"/>
      <c r="G22" s="65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50"/>
      <c r="X22" s="72"/>
      <c r="Y22" s="46"/>
      <c r="Z22" s="51"/>
      <c r="AA22" s="51"/>
      <c r="AB22" s="51"/>
      <c r="AC22" s="51"/>
      <c r="AD22" s="51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</row>
    <row r="23" spans="1:45" s="63" customFormat="1" ht="14.1" customHeight="1">
      <c r="B23" s="21"/>
      <c r="C23" s="52"/>
      <c r="D23" s="68"/>
      <c r="E23" s="108" t="s">
        <v>12</v>
      </c>
      <c r="F23" s="109"/>
      <c r="G23" s="109"/>
      <c r="H23" s="109"/>
      <c r="I23" s="109"/>
      <c r="J23" s="109"/>
      <c r="K23" s="100"/>
      <c r="L23" s="99" t="s">
        <v>13</v>
      </c>
      <c r="M23" s="100"/>
      <c r="N23" s="99" t="s">
        <v>14</v>
      </c>
      <c r="O23" s="109"/>
      <c r="P23" s="109"/>
      <c r="Q23" s="109"/>
      <c r="R23" s="109"/>
      <c r="S23" s="109"/>
      <c r="T23" s="109"/>
      <c r="U23" s="109"/>
      <c r="V23" s="100"/>
      <c r="W23" s="67" t="s">
        <v>15</v>
      </c>
      <c r="X23" s="73"/>
      <c r="Z23" s="18"/>
      <c r="AA23" s="18"/>
      <c r="AB23" s="18"/>
      <c r="AC23" s="18"/>
      <c r="AD23" s="18"/>
    </row>
    <row r="24" spans="1:45" s="63" customFormat="1" ht="27.95" customHeight="1">
      <c r="B24" s="21"/>
      <c r="C24" s="52"/>
      <c r="D24" s="68"/>
      <c r="E24" s="103" t="s">
        <v>16</v>
      </c>
      <c r="F24" s="104"/>
      <c r="G24" s="104"/>
      <c r="H24" s="104"/>
      <c r="I24" s="104"/>
      <c r="J24" s="104"/>
      <c r="K24" s="105"/>
      <c r="L24" s="112"/>
      <c r="M24" s="105"/>
      <c r="N24" s="113"/>
      <c r="O24" s="114"/>
      <c r="P24" s="114"/>
      <c r="Q24" s="114"/>
      <c r="R24" s="114"/>
      <c r="S24" s="114"/>
      <c r="T24" s="114"/>
      <c r="U24" s="114"/>
      <c r="V24" s="115"/>
      <c r="W24" s="74"/>
      <c r="X24" s="73"/>
      <c r="Z24" s="18"/>
      <c r="AA24" s="18"/>
      <c r="AB24" s="18"/>
      <c r="AC24" s="18"/>
      <c r="AD24" s="18"/>
    </row>
    <row r="25" spans="1:45" s="63" customFormat="1" ht="27.95" customHeight="1">
      <c r="B25" s="21"/>
      <c r="C25" s="52"/>
      <c r="D25" s="68"/>
      <c r="E25" s="110" t="s">
        <v>17</v>
      </c>
      <c r="F25" s="102"/>
      <c r="G25" s="102"/>
      <c r="H25" s="102"/>
      <c r="I25" s="102"/>
      <c r="J25" s="102"/>
      <c r="K25" s="111"/>
      <c r="L25" s="125"/>
      <c r="M25" s="111"/>
      <c r="N25" s="116"/>
      <c r="O25" s="117"/>
      <c r="P25" s="117"/>
      <c r="Q25" s="117"/>
      <c r="R25" s="117"/>
      <c r="S25" s="117"/>
      <c r="T25" s="117"/>
      <c r="U25" s="117"/>
      <c r="V25" s="118"/>
      <c r="W25" s="75"/>
      <c r="X25" s="73"/>
      <c r="Z25" s="18"/>
      <c r="AA25" s="18"/>
      <c r="AB25" s="18"/>
      <c r="AC25" s="18"/>
      <c r="AD25" s="18"/>
    </row>
    <row r="26" spans="1:45" s="63" customFormat="1" ht="27.95" customHeight="1">
      <c r="B26" s="21"/>
      <c r="C26" s="52"/>
      <c r="D26" s="68"/>
      <c r="E26" s="110" t="s">
        <v>18</v>
      </c>
      <c r="F26" s="102"/>
      <c r="G26" s="102"/>
      <c r="H26" s="102"/>
      <c r="I26" s="102"/>
      <c r="J26" s="102"/>
      <c r="K26" s="111"/>
      <c r="L26" s="125"/>
      <c r="M26" s="111"/>
      <c r="N26" s="116"/>
      <c r="O26" s="117"/>
      <c r="P26" s="117"/>
      <c r="Q26" s="117"/>
      <c r="R26" s="117"/>
      <c r="S26" s="117"/>
      <c r="T26" s="117"/>
      <c r="U26" s="117"/>
      <c r="V26" s="118"/>
      <c r="W26" s="75"/>
      <c r="X26" s="73"/>
      <c r="Z26" s="18"/>
      <c r="AA26" s="18"/>
      <c r="AB26" s="18"/>
      <c r="AC26" s="18"/>
      <c r="AD26" s="18"/>
    </row>
    <row r="27" spans="1:45" s="63" customFormat="1" ht="27.95" customHeight="1">
      <c r="B27" s="21"/>
      <c r="C27" s="52"/>
      <c r="D27" s="68"/>
      <c r="E27" s="110" t="s">
        <v>19</v>
      </c>
      <c r="F27" s="102"/>
      <c r="G27" s="102"/>
      <c r="H27" s="102"/>
      <c r="I27" s="102"/>
      <c r="J27" s="102"/>
      <c r="K27" s="111"/>
      <c r="L27" s="125"/>
      <c r="M27" s="111"/>
      <c r="N27" s="119"/>
      <c r="O27" s="120"/>
      <c r="P27" s="120"/>
      <c r="Q27" s="120"/>
      <c r="R27" s="120"/>
      <c r="S27" s="120"/>
      <c r="T27" s="120"/>
      <c r="U27" s="120"/>
      <c r="V27" s="121"/>
      <c r="W27" s="75"/>
      <c r="X27" s="73"/>
      <c r="Z27" s="18"/>
      <c r="AA27" s="18"/>
      <c r="AB27" s="18"/>
      <c r="AC27" s="18"/>
      <c r="AD27" s="18"/>
    </row>
    <row r="28" spans="1:45" s="63" customFormat="1" ht="21.95" customHeight="1">
      <c r="B28" s="21"/>
      <c r="C28" s="52"/>
      <c r="D28" s="68"/>
      <c r="E28" s="132" t="s">
        <v>20</v>
      </c>
      <c r="F28" s="109"/>
      <c r="G28" s="109"/>
      <c r="H28" s="109"/>
      <c r="I28" s="109"/>
      <c r="J28" s="109"/>
      <c r="K28" s="100"/>
      <c r="L28" s="44"/>
      <c r="M28" s="45"/>
      <c r="N28" s="129"/>
      <c r="O28" s="130"/>
      <c r="P28" s="130"/>
      <c r="Q28" s="130"/>
      <c r="R28" s="130"/>
      <c r="S28" s="130"/>
      <c r="T28" s="130"/>
      <c r="U28" s="131"/>
      <c r="V28" s="76"/>
      <c r="W28" s="77">
        <f>SUM(W24:W27)</f>
        <v>0</v>
      </c>
      <c r="X28" s="73"/>
      <c r="Z28" s="18"/>
      <c r="AA28" s="18"/>
      <c r="AB28" s="18"/>
      <c r="AC28" s="18"/>
      <c r="AD28" s="18"/>
    </row>
    <row r="29" spans="1:45" s="63" customFormat="1" ht="14.1" customHeight="1">
      <c r="A29" s="46"/>
      <c r="B29" s="47"/>
      <c r="C29" s="52"/>
      <c r="D29" s="54"/>
      <c r="E29" s="128" t="s">
        <v>21</v>
      </c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78"/>
      <c r="Y29" s="46"/>
      <c r="Z29" s="51"/>
      <c r="AA29" s="51"/>
      <c r="AB29" s="51"/>
      <c r="AC29" s="51"/>
      <c r="AD29" s="51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</row>
    <row r="30" spans="1:45" s="63" customFormat="1" ht="6" customHeight="1">
      <c r="A30" s="46"/>
      <c r="B30" s="47"/>
      <c r="C30" s="52"/>
      <c r="D30" s="55"/>
      <c r="E30" s="65"/>
      <c r="F30" s="65"/>
      <c r="G30" s="65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50"/>
      <c r="X30" s="56"/>
      <c r="Y30" s="46"/>
      <c r="Z30" s="51"/>
      <c r="AA30" s="51"/>
      <c r="AB30" s="51"/>
      <c r="AC30" s="51"/>
      <c r="AD30" s="51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</row>
    <row r="31" spans="1:45" s="63" customFormat="1" ht="6" customHeight="1">
      <c r="A31" s="46"/>
      <c r="B31" s="47"/>
      <c r="C31" s="52"/>
      <c r="D31" s="55"/>
      <c r="E31" s="65"/>
      <c r="F31" s="65"/>
      <c r="G31" s="65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50"/>
      <c r="X31" s="56"/>
      <c r="Y31" s="46"/>
      <c r="Z31" s="51"/>
      <c r="AA31" s="51"/>
      <c r="AB31" s="51"/>
      <c r="AC31" s="51"/>
      <c r="AD31" s="51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</row>
    <row r="32" spans="1:45" s="63" customFormat="1" ht="14.1" customHeight="1">
      <c r="A32" s="46"/>
      <c r="B32" s="47"/>
      <c r="C32" s="52"/>
      <c r="D32" s="54" t="s">
        <v>22</v>
      </c>
      <c r="E32" s="65" t="s">
        <v>23</v>
      </c>
      <c r="F32" s="65"/>
      <c r="G32" s="65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50"/>
      <c r="X32" s="78"/>
      <c r="Y32" s="46"/>
      <c r="Z32" s="51"/>
      <c r="AA32" s="51"/>
      <c r="AB32" s="51"/>
      <c r="AC32" s="51"/>
      <c r="AD32" s="51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</row>
    <row r="33" spans="1:45" s="63" customFormat="1" ht="14.1" customHeight="1">
      <c r="B33" s="21"/>
      <c r="C33" s="52"/>
      <c r="D33" s="68"/>
      <c r="E33" s="108" t="s">
        <v>12</v>
      </c>
      <c r="F33" s="109"/>
      <c r="G33" s="109"/>
      <c r="H33" s="109"/>
      <c r="I33" s="109"/>
      <c r="J33" s="109"/>
      <c r="K33" s="100"/>
      <c r="L33" s="99" t="s">
        <v>24</v>
      </c>
      <c r="M33" s="100"/>
      <c r="N33" s="99" t="s">
        <v>25</v>
      </c>
      <c r="O33" s="109"/>
      <c r="P33" s="109"/>
      <c r="Q33" s="109"/>
      <c r="R33" s="109"/>
      <c r="S33" s="109"/>
      <c r="T33" s="109"/>
      <c r="U33" s="109"/>
      <c r="V33" s="100"/>
      <c r="W33" s="67" t="s">
        <v>15</v>
      </c>
      <c r="X33" s="79"/>
      <c r="Z33" s="18"/>
      <c r="AA33" s="18"/>
      <c r="AB33" s="18"/>
      <c r="AC33" s="18"/>
      <c r="AD33" s="18"/>
    </row>
    <row r="34" spans="1:45" s="63" customFormat="1" ht="14.1" customHeight="1">
      <c r="B34" s="21"/>
      <c r="C34" s="52"/>
      <c r="D34" s="68"/>
      <c r="E34" s="108" t="s">
        <v>26</v>
      </c>
      <c r="F34" s="109"/>
      <c r="G34" s="109"/>
      <c r="H34" s="109"/>
      <c r="I34" s="109"/>
      <c r="J34" s="109"/>
      <c r="K34" s="100"/>
      <c r="L34" s="99"/>
      <c r="M34" s="100"/>
      <c r="N34" s="127">
        <v>220000</v>
      </c>
      <c r="O34" s="109"/>
      <c r="P34" s="109"/>
      <c r="Q34" s="109"/>
      <c r="R34" s="109"/>
      <c r="S34" s="109"/>
      <c r="T34" s="109"/>
      <c r="U34" s="109"/>
      <c r="V34" s="100"/>
      <c r="W34" s="80">
        <f>N34*L34</f>
        <v>0</v>
      </c>
      <c r="X34" s="79"/>
      <c r="Z34" s="18"/>
      <c r="AA34" s="18"/>
      <c r="AB34" s="18"/>
      <c r="AC34" s="18"/>
      <c r="AD34" s="18"/>
    </row>
    <row r="35" spans="1:45" s="63" customFormat="1" ht="14.1" customHeight="1">
      <c r="A35" s="46"/>
      <c r="B35" s="47"/>
      <c r="C35" s="52"/>
      <c r="D35" s="54"/>
      <c r="E35" s="65" t="s">
        <v>21</v>
      </c>
      <c r="F35" s="65"/>
      <c r="G35" s="65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50"/>
      <c r="X35" s="78"/>
      <c r="Y35" s="46"/>
      <c r="Z35" s="51"/>
      <c r="AA35" s="51"/>
      <c r="AB35" s="51"/>
      <c r="AC35" s="51"/>
      <c r="AD35" s="51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</row>
    <row r="36" spans="1:45" s="63" customFormat="1" ht="6" customHeight="1">
      <c r="A36" s="46"/>
      <c r="B36" s="47"/>
      <c r="C36" s="52"/>
      <c r="D36" s="54"/>
      <c r="E36" s="65"/>
      <c r="F36" s="65"/>
      <c r="G36" s="65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50"/>
      <c r="X36" s="78"/>
      <c r="Y36" s="46"/>
      <c r="Z36" s="51"/>
      <c r="AA36" s="51"/>
      <c r="AB36" s="51"/>
      <c r="AC36" s="51"/>
      <c r="AD36" s="51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</row>
    <row r="37" spans="1:45" s="63" customFormat="1" ht="14.1" customHeight="1">
      <c r="A37" s="46"/>
      <c r="B37" s="47"/>
      <c r="C37" s="52"/>
      <c r="D37" s="54" t="s">
        <v>27</v>
      </c>
      <c r="E37" s="65" t="s">
        <v>28</v>
      </c>
      <c r="F37" s="65"/>
      <c r="G37" s="65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81">
        <f>W28+W34</f>
        <v>0</v>
      </c>
      <c r="X37" s="78"/>
      <c r="Y37" s="46"/>
      <c r="Z37" s="51"/>
      <c r="AA37" s="51"/>
      <c r="AB37" s="51"/>
      <c r="AC37" s="51"/>
      <c r="AD37" s="51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</row>
    <row r="38" spans="1:45" s="63" customFormat="1" ht="6" customHeight="1">
      <c r="A38" s="46"/>
      <c r="B38" s="47"/>
      <c r="C38" s="52"/>
      <c r="D38" s="54"/>
      <c r="E38" s="65"/>
      <c r="F38" s="65"/>
      <c r="G38" s="65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57"/>
      <c r="X38" s="78"/>
      <c r="Y38" s="46"/>
      <c r="Z38" s="51"/>
      <c r="AA38" s="51"/>
      <c r="AB38" s="51"/>
      <c r="AC38" s="51"/>
      <c r="AD38" s="51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</row>
    <row r="39" spans="1:45" s="63" customFormat="1" ht="6" customHeight="1">
      <c r="A39" s="46"/>
      <c r="B39" s="47"/>
      <c r="C39" s="52"/>
      <c r="D39" s="54"/>
      <c r="E39" s="65"/>
      <c r="F39" s="65"/>
      <c r="G39" s="65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57"/>
      <c r="X39" s="78"/>
      <c r="Y39" s="46"/>
      <c r="Z39" s="51"/>
      <c r="AA39" s="51"/>
      <c r="AB39" s="51"/>
      <c r="AC39" s="51"/>
      <c r="AD39" s="51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</row>
    <row r="40" spans="1:45" s="63" customFormat="1" ht="14.1" customHeight="1">
      <c r="A40" s="46"/>
      <c r="B40" s="47"/>
      <c r="C40" s="48" t="s">
        <v>29</v>
      </c>
      <c r="D40" s="58" t="s">
        <v>30</v>
      </c>
      <c r="E40" s="58"/>
      <c r="F40" s="47"/>
      <c r="G40" s="47"/>
      <c r="H40" s="47"/>
      <c r="I40" s="56"/>
      <c r="J40" s="47"/>
      <c r="K40" s="47"/>
      <c r="L40" s="47"/>
      <c r="M40" s="47"/>
      <c r="N40" s="47"/>
      <c r="O40" s="49"/>
      <c r="P40" s="47"/>
      <c r="Q40" s="47"/>
      <c r="R40" s="47"/>
      <c r="S40" s="47"/>
      <c r="T40" s="47"/>
      <c r="U40" s="47"/>
      <c r="V40" s="47"/>
      <c r="W40" s="59"/>
      <c r="X40" s="82"/>
      <c r="Y40" s="46"/>
      <c r="Z40" s="60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</row>
    <row r="41" spans="1:45" s="63" customFormat="1" ht="56.1" customHeight="1">
      <c r="A41" s="46"/>
      <c r="B41" s="47"/>
      <c r="C41" s="61"/>
      <c r="D41" s="55" t="s">
        <v>10</v>
      </c>
      <c r="E41" s="124" t="s">
        <v>74</v>
      </c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46"/>
      <c r="Z41" s="60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</row>
    <row r="42" spans="1:45" s="63" customFormat="1" ht="3" customHeight="1">
      <c r="A42" s="46"/>
      <c r="B42" s="47"/>
      <c r="C42" s="61"/>
      <c r="D42" s="56"/>
      <c r="E42" s="65"/>
      <c r="F42" s="47"/>
      <c r="G42" s="47"/>
      <c r="H42" s="47"/>
      <c r="I42" s="56"/>
      <c r="J42" s="47"/>
      <c r="K42" s="47"/>
      <c r="L42" s="47"/>
      <c r="M42" s="47"/>
      <c r="N42" s="47"/>
      <c r="O42" s="49"/>
      <c r="P42" s="47"/>
      <c r="Q42" s="47"/>
      <c r="R42" s="47"/>
      <c r="S42" s="47"/>
      <c r="T42" s="47"/>
      <c r="U42" s="47"/>
      <c r="V42" s="47"/>
      <c r="W42" s="59"/>
      <c r="X42" s="82"/>
      <c r="Y42" s="46"/>
      <c r="Z42" s="60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</row>
    <row r="43" spans="1:45" s="63" customFormat="1" ht="12.95" customHeight="1">
      <c r="A43" s="46"/>
      <c r="B43" s="47"/>
      <c r="C43" s="52"/>
      <c r="D43" s="55" t="s">
        <v>22</v>
      </c>
      <c r="E43" s="55" t="s">
        <v>31</v>
      </c>
      <c r="F43" s="47"/>
      <c r="G43" s="47"/>
      <c r="H43" s="47"/>
      <c r="I43" s="56"/>
      <c r="J43" s="47"/>
      <c r="K43" s="47"/>
      <c r="L43" s="47"/>
      <c r="M43" s="47"/>
      <c r="N43" s="47"/>
      <c r="O43" s="49"/>
      <c r="P43" s="47"/>
      <c r="Q43" s="47"/>
      <c r="R43" s="47"/>
      <c r="S43" s="47"/>
      <c r="T43" s="47"/>
      <c r="U43" s="47"/>
      <c r="V43" s="47"/>
      <c r="W43" s="59"/>
      <c r="X43" s="82"/>
      <c r="Y43" s="46"/>
      <c r="Z43" s="60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</row>
    <row r="44" spans="1:45" s="63" customFormat="1" ht="12.95" customHeight="1">
      <c r="A44" s="46"/>
      <c r="B44" s="47"/>
      <c r="C44" s="52"/>
      <c r="D44" s="55"/>
      <c r="E44" s="55" t="s">
        <v>32</v>
      </c>
      <c r="F44" s="47"/>
      <c r="G44" s="47"/>
      <c r="H44" s="47"/>
      <c r="I44" s="56"/>
      <c r="J44" s="47"/>
      <c r="K44" s="47"/>
      <c r="L44" s="47"/>
      <c r="M44" s="47"/>
      <c r="N44" s="47"/>
      <c r="O44" s="49"/>
      <c r="P44" s="47"/>
      <c r="Q44" s="47"/>
      <c r="R44" s="47"/>
      <c r="S44" s="47"/>
      <c r="T44" s="47"/>
      <c r="U44" s="47"/>
      <c r="V44" s="47"/>
      <c r="W44" s="59"/>
      <c r="X44" s="82"/>
      <c r="Y44" s="46"/>
      <c r="Z44" s="60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</row>
    <row r="45" spans="1:45" s="63" customFormat="1" ht="12.95" customHeight="1">
      <c r="A45" s="46"/>
      <c r="B45" s="47"/>
      <c r="C45" s="52"/>
      <c r="D45" s="55"/>
      <c r="E45" s="55"/>
      <c r="F45" s="55" t="s">
        <v>33</v>
      </c>
      <c r="G45" s="47"/>
      <c r="H45" s="47"/>
      <c r="I45" s="56"/>
      <c r="J45" s="47"/>
      <c r="K45" s="47"/>
      <c r="L45" s="47"/>
      <c r="M45" s="47"/>
      <c r="N45" s="47"/>
      <c r="O45" s="49"/>
      <c r="P45" s="47"/>
      <c r="Q45" s="47"/>
      <c r="R45" s="47"/>
      <c r="S45" s="47"/>
      <c r="T45" s="47"/>
      <c r="U45" s="47"/>
      <c r="V45" s="47"/>
      <c r="W45" s="59"/>
      <c r="X45" s="82"/>
      <c r="Y45" s="46"/>
      <c r="Z45" s="60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</row>
    <row r="46" spans="1:45" s="63" customFormat="1" ht="12.95" customHeight="1">
      <c r="A46" s="46"/>
      <c r="B46" s="47"/>
      <c r="C46" s="52"/>
      <c r="D46" s="55"/>
      <c r="E46" s="55"/>
      <c r="F46" s="55" t="s">
        <v>34</v>
      </c>
      <c r="G46" s="47"/>
      <c r="H46" s="47"/>
      <c r="I46" s="56"/>
      <c r="J46" s="47"/>
      <c r="K46" s="47"/>
      <c r="L46" s="47"/>
      <c r="M46" s="47"/>
      <c r="N46" s="47"/>
      <c r="O46" s="49"/>
      <c r="P46" s="47"/>
      <c r="Q46" s="47"/>
      <c r="R46" s="47"/>
      <c r="S46" s="47"/>
      <c r="T46" s="47"/>
      <c r="U46" s="47"/>
      <c r="V46" s="47"/>
      <c r="W46" s="59"/>
      <c r="X46" s="82"/>
      <c r="Y46" s="46"/>
      <c r="Z46" s="60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</row>
    <row r="47" spans="1:45" s="63" customFormat="1" ht="12.95" customHeight="1">
      <c r="A47" s="46"/>
      <c r="B47" s="47"/>
      <c r="C47" s="52"/>
      <c r="D47" s="55"/>
      <c r="E47" s="65"/>
      <c r="F47" s="55" t="s">
        <v>35</v>
      </c>
      <c r="G47" s="47"/>
      <c r="H47" s="47"/>
      <c r="I47" s="56"/>
      <c r="J47" s="47"/>
      <c r="K47" s="47"/>
      <c r="L47" s="47"/>
      <c r="M47" s="47"/>
      <c r="N47" s="47"/>
      <c r="O47" s="49"/>
      <c r="P47" s="47"/>
      <c r="Q47" s="47"/>
      <c r="R47" s="47"/>
      <c r="S47" s="47"/>
      <c r="T47" s="47"/>
      <c r="U47" s="47"/>
      <c r="V47" s="47"/>
      <c r="W47" s="59"/>
      <c r="X47" s="82"/>
      <c r="Y47" s="46"/>
      <c r="Z47" s="60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</row>
    <row r="48" spans="1:45" s="63" customFormat="1" ht="12.95" customHeight="1">
      <c r="A48" s="46"/>
      <c r="B48" s="47"/>
      <c r="C48" s="52"/>
      <c r="D48" s="55"/>
      <c r="E48" s="65"/>
      <c r="F48" s="55" t="s">
        <v>36</v>
      </c>
      <c r="G48" s="47"/>
      <c r="H48" s="47"/>
      <c r="I48" s="56"/>
      <c r="J48" s="47"/>
      <c r="K48" s="47"/>
      <c r="L48" s="47"/>
      <c r="M48" s="47"/>
      <c r="N48" s="47"/>
      <c r="O48" s="49"/>
      <c r="P48" s="47"/>
      <c r="Q48" s="47"/>
      <c r="R48" s="47"/>
      <c r="S48" s="47"/>
      <c r="T48" s="47"/>
      <c r="U48" s="47"/>
      <c r="V48" s="47"/>
      <c r="W48" s="59"/>
      <c r="X48" s="82"/>
      <c r="Y48" s="46"/>
      <c r="Z48" s="60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</row>
    <row r="49" spans="1:45" s="63" customFormat="1" ht="12.95" customHeight="1">
      <c r="A49" s="46"/>
      <c r="B49" s="47"/>
      <c r="C49" s="52"/>
      <c r="D49" s="55"/>
      <c r="E49" s="55"/>
      <c r="F49" s="55" t="s">
        <v>37</v>
      </c>
      <c r="G49" s="47"/>
      <c r="H49" s="47"/>
      <c r="I49" s="56"/>
      <c r="J49" s="47"/>
      <c r="K49" s="47"/>
      <c r="L49" s="47"/>
      <c r="M49" s="47"/>
      <c r="N49" s="47"/>
      <c r="O49" s="49"/>
      <c r="P49" s="47"/>
      <c r="Q49" s="47"/>
      <c r="R49" s="47"/>
      <c r="S49" s="47"/>
      <c r="T49" s="47"/>
      <c r="U49" s="47"/>
      <c r="V49" s="47"/>
      <c r="W49" s="59"/>
      <c r="X49" s="82"/>
      <c r="Y49" s="46"/>
      <c r="Z49" s="60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</row>
    <row r="50" spans="1:45" s="63" customFormat="1" ht="12.95" customHeight="1">
      <c r="A50" s="46"/>
      <c r="B50" s="47"/>
      <c r="C50" s="52"/>
      <c r="D50" s="65" t="s">
        <v>27</v>
      </c>
      <c r="E50" s="55" t="s">
        <v>38</v>
      </c>
      <c r="F50" s="55"/>
      <c r="G50" s="47"/>
      <c r="H50" s="47"/>
      <c r="I50" s="56"/>
      <c r="J50" s="47"/>
      <c r="K50" s="47"/>
      <c r="L50" s="47"/>
      <c r="M50" s="47"/>
      <c r="N50" s="47"/>
      <c r="O50" s="49"/>
      <c r="P50" s="47"/>
      <c r="Q50" s="47"/>
      <c r="R50" s="47"/>
      <c r="S50" s="47"/>
      <c r="T50" s="47"/>
      <c r="U50" s="47"/>
      <c r="V50" s="47"/>
      <c r="W50" s="59"/>
      <c r="X50" s="82"/>
      <c r="Y50" s="46"/>
      <c r="Z50" s="60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</row>
    <row r="51" spans="1:45" s="63" customFormat="1" ht="6" customHeight="1">
      <c r="A51" s="46"/>
      <c r="B51" s="47"/>
      <c r="C51" s="52"/>
      <c r="D51" s="65"/>
      <c r="E51" s="55"/>
      <c r="F51" s="55"/>
      <c r="G51" s="47"/>
      <c r="H51" s="47"/>
      <c r="I51" s="56"/>
      <c r="J51" s="47"/>
      <c r="K51" s="47"/>
      <c r="L51" s="47"/>
      <c r="M51" s="47"/>
      <c r="N51" s="47"/>
      <c r="O51" s="49"/>
      <c r="P51" s="47"/>
      <c r="Q51" s="47"/>
      <c r="R51" s="47"/>
      <c r="S51" s="47"/>
      <c r="T51" s="47"/>
      <c r="U51" s="47"/>
      <c r="V51" s="47"/>
      <c r="W51" s="59"/>
      <c r="X51" s="82"/>
      <c r="Y51" s="46"/>
      <c r="Z51" s="60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</row>
    <row r="52" spans="1:45" s="63" customFormat="1" ht="12.95" customHeight="1">
      <c r="A52" s="46"/>
      <c r="B52" s="47"/>
      <c r="C52" s="52"/>
      <c r="D52" s="65" t="s">
        <v>39</v>
      </c>
      <c r="E52" s="55"/>
      <c r="F52" s="55"/>
      <c r="G52" s="47"/>
      <c r="H52" s="47"/>
      <c r="I52" s="56"/>
      <c r="J52" s="47"/>
      <c r="K52" s="47"/>
      <c r="L52" s="47"/>
      <c r="M52" s="47"/>
      <c r="N52" s="47"/>
      <c r="O52" s="49"/>
      <c r="P52" s="47"/>
      <c r="Q52" s="47"/>
      <c r="R52" s="47"/>
      <c r="S52" s="47"/>
      <c r="T52" s="47"/>
      <c r="U52" s="47"/>
      <c r="V52" s="47"/>
      <c r="W52" s="59"/>
      <c r="X52" s="82"/>
      <c r="Y52" s="46"/>
      <c r="Z52" s="60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</row>
    <row r="53" spans="1:45" s="63" customFormat="1" ht="12.95" customHeight="1">
      <c r="A53" s="46"/>
      <c r="B53" s="47"/>
      <c r="C53" s="52"/>
      <c r="D53" s="65"/>
      <c r="E53" s="65" t="s">
        <v>40</v>
      </c>
      <c r="F53" s="55"/>
      <c r="G53" s="47"/>
      <c r="H53" s="47"/>
      <c r="I53" s="56"/>
      <c r="J53" s="47"/>
      <c r="K53" s="47"/>
      <c r="L53" s="47"/>
      <c r="M53" s="47"/>
      <c r="N53" s="47"/>
      <c r="O53" s="49"/>
      <c r="P53" s="47"/>
      <c r="Q53" s="47"/>
      <c r="R53" s="47"/>
      <c r="S53" s="47"/>
      <c r="T53" s="47"/>
      <c r="U53" s="47"/>
      <c r="V53" s="47"/>
      <c r="W53" s="59"/>
      <c r="X53" s="82"/>
      <c r="Y53" s="46"/>
      <c r="Z53" s="60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</row>
    <row r="54" spans="1:45" s="63" customFormat="1" ht="6" customHeight="1">
      <c r="A54" s="46"/>
      <c r="B54" s="47"/>
      <c r="C54" s="52"/>
      <c r="D54" s="55"/>
      <c r="E54" s="62"/>
      <c r="F54" s="55"/>
      <c r="G54" s="47"/>
      <c r="H54" s="47"/>
      <c r="I54" s="56"/>
      <c r="J54" s="47"/>
      <c r="K54" s="47"/>
      <c r="L54" s="47"/>
      <c r="M54" s="47"/>
      <c r="N54" s="47"/>
      <c r="O54" s="49"/>
      <c r="P54" s="47"/>
      <c r="Q54" s="47"/>
      <c r="R54" s="47"/>
      <c r="S54" s="47"/>
      <c r="T54" s="47"/>
      <c r="U54" s="47"/>
      <c r="V54" s="47"/>
      <c r="W54" s="59"/>
      <c r="X54" s="82"/>
      <c r="Y54" s="46"/>
      <c r="Z54" s="60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</row>
    <row r="55" spans="1:45" s="63" customFormat="1" ht="6" customHeight="1">
      <c r="B55" s="21"/>
      <c r="C55" s="38"/>
      <c r="D55" s="31"/>
      <c r="E55" s="40"/>
      <c r="F55" s="31"/>
      <c r="G55" s="21"/>
      <c r="H55" s="21"/>
      <c r="J55" s="21"/>
      <c r="K55" s="21"/>
      <c r="L55" s="21"/>
      <c r="M55" s="21"/>
      <c r="N55" s="21"/>
      <c r="O55" s="41"/>
      <c r="P55" s="21"/>
      <c r="Q55" s="21"/>
      <c r="R55" s="21"/>
      <c r="S55" s="21"/>
      <c r="T55" s="21"/>
      <c r="U55" s="21"/>
      <c r="V55" s="21"/>
      <c r="W55" s="42"/>
      <c r="X55" s="83"/>
      <c r="Z55" s="22"/>
    </row>
    <row r="56" spans="1:45" s="37" customFormat="1" ht="6" customHeight="1">
      <c r="B56" s="34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84"/>
      <c r="X56" s="84"/>
    </row>
    <row r="57" spans="1:45" s="37" customFormat="1" ht="14.1" customHeight="1">
      <c r="B57" s="43" t="s">
        <v>41</v>
      </c>
      <c r="C57" s="15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85"/>
      <c r="O57" s="85"/>
      <c r="P57" s="85"/>
      <c r="Q57" s="85"/>
      <c r="R57" s="85"/>
      <c r="S57" s="32"/>
      <c r="T57" s="32"/>
      <c r="U57" s="32"/>
      <c r="V57" s="32"/>
      <c r="W57" s="86"/>
      <c r="X57" s="87"/>
      <c r="Y57" s="4"/>
      <c r="Z57" s="30"/>
      <c r="AA57" s="63"/>
      <c r="AB57" s="31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</row>
    <row r="58" spans="1:45" s="37" customFormat="1" ht="12.95" customHeight="1">
      <c r="B58" s="39" t="s">
        <v>42</v>
      </c>
      <c r="C58" s="15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85"/>
      <c r="O58" s="85"/>
      <c r="P58" s="85"/>
      <c r="Q58" s="85"/>
      <c r="R58" s="85"/>
      <c r="S58" s="32"/>
      <c r="T58" s="32"/>
      <c r="U58" s="32"/>
      <c r="V58" s="32"/>
      <c r="W58" s="86"/>
      <c r="X58" s="87"/>
      <c r="Y58" s="4"/>
      <c r="Z58" s="30"/>
      <c r="AA58" s="63"/>
      <c r="AB58" s="31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</row>
    <row r="59" spans="1:45" s="63" customFormat="1" ht="27.95" customHeight="1">
      <c r="B59" s="29"/>
      <c r="C59" s="30" t="s">
        <v>8</v>
      </c>
      <c r="D59" s="122" t="s">
        <v>43</v>
      </c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20"/>
      <c r="Z59" s="28"/>
    </row>
    <row r="60" spans="1:45" s="63" customFormat="1" ht="12.95" customHeight="1">
      <c r="B60" s="31"/>
      <c r="C60" s="30" t="s">
        <v>29</v>
      </c>
      <c r="D60" s="31" t="s">
        <v>75</v>
      </c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Z60" s="29"/>
      <c r="AA60" s="30"/>
    </row>
    <row r="61" spans="1:45" s="63" customFormat="1" ht="12.95" customHeight="1">
      <c r="B61" s="31"/>
      <c r="C61" s="30"/>
      <c r="D61" s="31" t="s">
        <v>76</v>
      </c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Z61" s="29"/>
      <c r="AA61" s="30"/>
    </row>
    <row r="62" spans="1:45" s="63" customFormat="1" ht="12.95" customHeight="1">
      <c r="B62" s="31"/>
      <c r="C62" s="30" t="s">
        <v>44</v>
      </c>
      <c r="D62" s="31" t="s">
        <v>77</v>
      </c>
      <c r="E62" s="31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Z62" s="29"/>
      <c r="AA62" s="30"/>
    </row>
    <row r="63" spans="1:45" s="63" customFormat="1" ht="12.95" customHeight="1">
      <c r="B63" s="31"/>
      <c r="C63" s="30"/>
      <c r="D63" s="63" t="s">
        <v>78</v>
      </c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Z63" s="29"/>
      <c r="AA63" s="30"/>
    </row>
    <row r="64" spans="1:45" s="63" customFormat="1" ht="6" customHeight="1">
      <c r="B64" s="31"/>
      <c r="C64" s="30"/>
      <c r="E64" s="31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Z64" s="29"/>
      <c r="AA64" s="30"/>
    </row>
    <row r="65" spans="1:45" s="63" customFormat="1" ht="6" customHeight="1">
      <c r="B65" s="31"/>
      <c r="C65" s="30"/>
      <c r="E65" s="31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Z65" s="29"/>
      <c r="AA65" s="30"/>
    </row>
    <row r="66" spans="1:45" s="63" customFormat="1" ht="14.1" customHeight="1">
      <c r="B66" s="28" t="s">
        <v>45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Z66" s="29"/>
      <c r="AA66" s="30"/>
    </row>
    <row r="67" spans="1:45" s="63" customFormat="1" ht="27.95" customHeight="1">
      <c r="B67" s="29"/>
      <c r="C67" s="30" t="s">
        <v>8</v>
      </c>
      <c r="D67" s="123" t="s">
        <v>46</v>
      </c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Z67" s="29"/>
      <c r="AA67" s="30"/>
    </row>
    <row r="68" spans="1:45" s="63" customFormat="1" ht="27.95" customHeight="1">
      <c r="B68" s="31"/>
      <c r="C68" s="98" t="s">
        <v>29</v>
      </c>
      <c r="D68" s="123" t="s">
        <v>47</v>
      </c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Z68" s="29"/>
      <c r="AA68" s="30"/>
    </row>
    <row r="69" spans="1:45" s="63" customFormat="1" ht="6" customHeight="1">
      <c r="B69" s="31"/>
      <c r="C69" s="30"/>
      <c r="D69" s="31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Z69" s="29"/>
      <c r="AA69" s="30"/>
    </row>
    <row r="70" spans="1:45" s="63" customFormat="1" ht="14.1" customHeight="1">
      <c r="A70" s="37"/>
      <c r="B70" s="34" t="s">
        <v>48</v>
      </c>
      <c r="C70" s="36"/>
      <c r="D70" s="37"/>
      <c r="E70" s="36"/>
      <c r="F70" s="36"/>
      <c r="G70" s="36"/>
      <c r="H70" s="36"/>
      <c r="I70" s="36"/>
      <c r="J70" s="36"/>
      <c r="K70" s="36"/>
      <c r="L70" s="36"/>
      <c r="M70" s="36"/>
      <c r="N70" s="89"/>
      <c r="O70" s="89"/>
      <c r="P70" s="89"/>
      <c r="Q70" s="89"/>
      <c r="R70" s="89"/>
      <c r="S70" s="36"/>
      <c r="T70" s="36"/>
      <c r="U70" s="36"/>
      <c r="V70" s="36"/>
      <c r="W70" s="90"/>
      <c r="X70" s="91"/>
    </row>
    <row r="71" spans="1:45" s="37" customFormat="1" ht="14.1" customHeight="1">
      <c r="A71" s="63"/>
      <c r="B71" s="31"/>
      <c r="C71" s="33" t="s">
        <v>8</v>
      </c>
      <c r="D71" s="30" t="s">
        <v>49</v>
      </c>
      <c r="E71" s="31"/>
      <c r="F71" s="31"/>
      <c r="G71" s="31"/>
      <c r="H71" s="31"/>
      <c r="I71" s="31"/>
      <c r="J71" s="31"/>
      <c r="K71" s="31"/>
      <c r="L71" s="31"/>
      <c r="M71" s="32"/>
      <c r="N71" s="88"/>
      <c r="O71" s="88"/>
      <c r="P71" s="88"/>
      <c r="Q71" s="88"/>
      <c r="R71" s="88"/>
      <c r="S71" s="32"/>
      <c r="T71" s="32"/>
      <c r="U71" s="32"/>
      <c r="V71" s="32"/>
      <c r="W71" s="92"/>
      <c r="X71" s="87"/>
    </row>
    <row r="72" spans="1:45" s="63" customFormat="1" ht="6" customHeight="1">
      <c r="A72" s="37"/>
      <c r="B72" s="32"/>
      <c r="C72"/>
      <c r="E72" s="36"/>
      <c r="F72" s="36"/>
      <c r="G72" s="36"/>
      <c r="H72" s="36"/>
      <c r="I72" s="36"/>
      <c r="J72" s="36"/>
      <c r="K72" s="36"/>
      <c r="L72" s="36"/>
      <c r="M72" s="36"/>
      <c r="N72" s="89"/>
      <c r="O72" s="89"/>
      <c r="P72" s="89"/>
      <c r="Q72" s="89"/>
      <c r="R72" s="89"/>
      <c r="S72" s="36"/>
      <c r="T72" s="36"/>
      <c r="U72" s="36"/>
      <c r="V72" s="36"/>
      <c r="W72" s="90"/>
      <c r="X72" s="91"/>
    </row>
    <row r="73" spans="1:45" s="63" customFormat="1" ht="14.1" customHeight="1">
      <c r="A73" s="37"/>
      <c r="B73" s="43" t="s">
        <v>50</v>
      </c>
      <c r="C73"/>
      <c r="D73" s="37"/>
      <c r="E73" s="36"/>
      <c r="F73" s="36"/>
      <c r="G73" s="36"/>
      <c r="H73" s="36"/>
      <c r="I73" s="36"/>
      <c r="J73" s="36"/>
      <c r="K73" s="36"/>
      <c r="L73" s="36"/>
      <c r="M73" s="36"/>
      <c r="N73" s="89"/>
      <c r="O73" s="89"/>
      <c r="P73" s="89"/>
      <c r="Q73" s="89"/>
      <c r="R73" s="89"/>
      <c r="S73" s="36"/>
      <c r="T73" s="36"/>
      <c r="U73" s="36"/>
      <c r="V73" s="36"/>
      <c r="W73" s="90"/>
      <c r="X73" s="91"/>
    </row>
    <row r="74" spans="1:45" s="63" customFormat="1" ht="14.1" customHeight="1">
      <c r="A74" s="37"/>
      <c r="B74" s="29"/>
      <c r="C74"/>
      <c r="D74" s="31" t="s">
        <v>51</v>
      </c>
      <c r="E74" s="36"/>
      <c r="F74" s="36"/>
      <c r="G74" s="36"/>
      <c r="H74" s="36"/>
      <c r="I74" s="36"/>
      <c r="J74" s="36"/>
      <c r="K74" s="36"/>
      <c r="L74" s="36"/>
      <c r="M74" s="36"/>
      <c r="N74" s="89"/>
      <c r="O74" s="89"/>
      <c r="P74" s="89"/>
      <c r="Q74" s="89"/>
      <c r="R74" s="89"/>
      <c r="S74" s="36"/>
      <c r="T74" s="36"/>
      <c r="U74" s="36"/>
      <c r="V74" s="36"/>
      <c r="W74" s="90"/>
      <c r="X74" s="91"/>
    </row>
    <row r="75" spans="1:45" s="63" customFormat="1" ht="6" customHeight="1">
      <c r="A75" s="37"/>
      <c r="B75" s="32"/>
      <c r="C75" s="36"/>
      <c r="D75" s="37"/>
      <c r="E75" s="36"/>
      <c r="F75" s="36"/>
      <c r="G75" s="36"/>
      <c r="H75" s="36"/>
      <c r="I75" s="36"/>
      <c r="J75" s="36"/>
      <c r="K75" s="36"/>
      <c r="L75" s="36"/>
      <c r="M75" s="36"/>
      <c r="N75" s="89"/>
      <c r="O75" s="89"/>
      <c r="P75" s="89"/>
      <c r="Q75" s="89"/>
      <c r="R75" s="89"/>
      <c r="S75" s="36"/>
      <c r="T75" s="36"/>
      <c r="U75" s="36"/>
      <c r="V75" s="36"/>
      <c r="W75" s="90"/>
      <c r="X75" s="91"/>
    </row>
    <row r="76" spans="1:45" s="37" customFormat="1" ht="14.1" customHeight="1">
      <c r="B76" s="35" t="s">
        <v>52</v>
      </c>
      <c r="C76" s="19"/>
      <c r="D76" s="21"/>
      <c r="E76" s="36"/>
      <c r="F76" s="36"/>
      <c r="G76" s="36"/>
      <c r="H76" s="36"/>
      <c r="I76" s="36"/>
      <c r="J76" s="36"/>
      <c r="K76" s="36"/>
      <c r="L76" s="36"/>
      <c r="M76" s="36"/>
      <c r="N76" s="89"/>
      <c r="O76" s="89"/>
      <c r="P76" s="89"/>
      <c r="Q76" s="89"/>
      <c r="R76" s="89"/>
      <c r="S76" s="36"/>
      <c r="T76" s="36"/>
      <c r="U76" s="36"/>
      <c r="V76" s="36"/>
      <c r="W76" s="90"/>
      <c r="X76" s="91"/>
    </row>
    <row r="77" spans="1:45" s="37" customFormat="1" ht="14.1" customHeight="1">
      <c r="B77" s="63"/>
      <c r="C77" s="38"/>
      <c r="D77" s="21" t="s">
        <v>53</v>
      </c>
      <c r="E77" s="36"/>
      <c r="F77" s="36"/>
      <c r="G77" s="36"/>
      <c r="H77" s="36"/>
      <c r="I77" s="36"/>
      <c r="J77" s="36"/>
      <c r="K77" s="36"/>
      <c r="L77" s="36"/>
      <c r="M77" s="36"/>
      <c r="N77" s="89"/>
      <c r="O77" s="89"/>
      <c r="P77" s="89"/>
      <c r="Q77" s="89"/>
      <c r="R77" s="89"/>
      <c r="S77" s="36"/>
      <c r="T77" s="36"/>
      <c r="U77" s="36"/>
      <c r="V77" s="36"/>
      <c r="W77" s="90"/>
      <c r="X77" s="91"/>
    </row>
    <row r="78" spans="1:45" s="37" customFormat="1" ht="14.1" customHeight="1">
      <c r="B78" s="63"/>
      <c r="C78" s="19"/>
      <c r="D78" s="21" t="s">
        <v>54</v>
      </c>
      <c r="E78" s="36"/>
      <c r="F78" s="36"/>
      <c r="G78" s="36"/>
      <c r="H78" s="36"/>
      <c r="I78" s="36"/>
      <c r="J78" s="36"/>
      <c r="K78" s="36"/>
      <c r="L78" s="36"/>
      <c r="M78" s="36"/>
      <c r="N78" s="89"/>
      <c r="O78" s="89"/>
      <c r="P78" s="89"/>
      <c r="Q78" s="89"/>
      <c r="R78" s="89"/>
      <c r="S78" s="36"/>
      <c r="T78" s="36"/>
      <c r="U78" s="36"/>
      <c r="V78" s="36"/>
      <c r="W78" s="90"/>
      <c r="X78" s="91"/>
      <c r="AA78" s="31"/>
      <c r="AB78" s="23"/>
      <c r="AC78" s="31"/>
      <c r="AD78" s="23"/>
      <c r="AE78" s="31"/>
      <c r="AF78" s="23"/>
      <c r="AG78" s="31"/>
      <c r="AH78" s="23"/>
      <c r="AI78" s="31"/>
      <c r="AJ78" s="23"/>
      <c r="AK78" s="31"/>
      <c r="AL78" s="23"/>
      <c r="AM78" s="31"/>
      <c r="AN78" s="23"/>
      <c r="AO78" s="31"/>
      <c r="AP78" s="23"/>
      <c r="AQ78" s="31"/>
      <c r="AR78" s="23"/>
      <c r="AS78" s="31"/>
    </row>
    <row r="79" spans="1:45" s="37" customFormat="1" ht="14.1" customHeight="1">
      <c r="B79" s="63"/>
      <c r="C79" s="19"/>
      <c r="D79" s="21" t="s">
        <v>55</v>
      </c>
      <c r="E79" s="36"/>
      <c r="F79" s="36"/>
      <c r="G79" s="36"/>
      <c r="H79" s="36"/>
      <c r="I79" s="36"/>
      <c r="J79" s="36"/>
      <c r="K79" s="36"/>
      <c r="L79" s="36"/>
      <c r="M79" s="36"/>
      <c r="N79" s="89"/>
      <c r="O79" s="89"/>
      <c r="P79" s="89"/>
      <c r="Q79" s="89"/>
      <c r="R79" s="89"/>
      <c r="S79" s="36"/>
      <c r="T79" s="36"/>
      <c r="U79" s="36"/>
      <c r="V79" s="36"/>
      <c r="W79" s="90"/>
      <c r="X79" s="91"/>
    </row>
    <row r="80" spans="1:45" s="37" customFormat="1" ht="14.1" customHeight="1">
      <c r="B80" s="35" t="s">
        <v>56</v>
      </c>
      <c r="C80" s="93"/>
      <c r="D80" s="94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6"/>
      <c r="X80" s="91"/>
    </row>
    <row r="81" spans="1:24" s="37" customFormat="1" ht="14.1" customHeight="1">
      <c r="B81" s="35"/>
      <c r="C81" s="19" t="s">
        <v>8</v>
      </c>
      <c r="D81" s="21" t="s">
        <v>57</v>
      </c>
      <c r="E81" s="36"/>
      <c r="F81" s="36"/>
      <c r="G81" s="36"/>
      <c r="H81" s="36"/>
      <c r="I81" s="36"/>
      <c r="J81" s="36"/>
      <c r="K81" s="36"/>
      <c r="L81" s="36"/>
      <c r="M81" s="36"/>
      <c r="N81" s="89"/>
      <c r="O81" s="89"/>
      <c r="P81" s="89"/>
      <c r="Q81" s="89"/>
      <c r="R81" s="89"/>
      <c r="S81" s="36"/>
      <c r="T81" s="36"/>
      <c r="U81" s="36"/>
      <c r="V81" s="36"/>
      <c r="W81" s="90"/>
      <c r="X81" s="91"/>
    </row>
    <row r="82" spans="1:24" s="37" customFormat="1" ht="14.1" customHeight="1">
      <c r="B82" s="32"/>
      <c r="C82" s="38"/>
      <c r="D82" s="21" t="s">
        <v>58</v>
      </c>
      <c r="E82" s="36"/>
      <c r="F82" s="36"/>
      <c r="G82" s="36"/>
      <c r="H82" s="36"/>
      <c r="I82" s="36"/>
      <c r="J82" s="36"/>
      <c r="K82" s="36"/>
      <c r="L82" s="36"/>
      <c r="M82" s="36"/>
      <c r="N82" s="89"/>
      <c r="O82" s="89"/>
      <c r="P82" s="89"/>
      <c r="Q82" s="89"/>
      <c r="R82" s="89"/>
      <c r="S82" s="36"/>
      <c r="T82" s="36"/>
      <c r="U82" s="36"/>
      <c r="V82" s="36"/>
      <c r="W82" s="90"/>
      <c r="X82" s="91"/>
    </row>
    <row r="83" spans="1:24" s="37" customFormat="1" ht="6" customHeight="1">
      <c r="B83" s="32"/>
      <c r="C83" s="32"/>
      <c r="D83" s="63"/>
      <c r="E83" s="36"/>
      <c r="F83" s="36"/>
      <c r="G83" s="36"/>
      <c r="H83" s="36"/>
      <c r="I83" s="36"/>
      <c r="J83" s="36"/>
      <c r="K83" s="36"/>
      <c r="L83" s="36"/>
      <c r="M83" s="36"/>
      <c r="N83" s="89"/>
      <c r="O83" s="89"/>
      <c r="P83" s="89"/>
      <c r="Q83" s="89"/>
      <c r="R83" s="89"/>
      <c r="S83" s="36"/>
      <c r="T83" s="36"/>
      <c r="U83" s="36"/>
      <c r="V83" s="36"/>
      <c r="W83" s="90"/>
      <c r="X83" s="91"/>
    </row>
    <row r="84" spans="1:24" s="37" customFormat="1" ht="14.1" customHeight="1">
      <c r="B84" s="35" t="s">
        <v>59</v>
      </c>
      <c r="C84" s="36"/>
      <c r="E84" s="36"/>
      <c r="F84" s="36"/>
      <c r="G84" s="36"/>
      <c r="H84" s="36"/>
      <c r="I84" s="36"/>
      <c r="J84" s="36"/>
      <c r="K84" s="36"/>
      <c r="L84" s="36"/>
      <c r="M84" s="36"/>
      <c r="N84" s="89"/>
      <c r="O84" s="89"/>
      <c r="P84" s="89"/>
      <c r="Q84" s="89"/>
      <c r="R84" s="89"/>
      <c r="S84" s="36"/>
      <c r="T84" s="36"/>
      <c r="U84" s="36"/>
      <c r="V84" s="36"/>
      <c r="W84" s="90"/>
      <c r="X84" s="91"/>
    </row>
    <row r="85" spans="1:24" s="37" customFormat="1" ht="14.1" customHeight="1">
      <c r="B85" s="16"/>
      <c r="C85" s="19" t="s">
        <v>8</v>
      </c>
      <c r="D85" s="21" t="s">
        <v>60</v>
      </c>
      <c r="E85" s="32"/>
      <c r="F85" s="32"/>
      <c r="G85" s="32"/>
      <c r="H85" s="32"/>
      <c r="I85" s="32"/>
      <c r="J85" s="32"/>
      <c r="K85" s="32"/>
      <c r="L85" s="32"/>
      <c r="M85" s="36"/>
      <c r="N85" s="89"/>
      <c r="O85" s="89"/>
      <c r="P85" s="89"/>
      <c r="Q85" s="89"/>
      <c r="R85" s="89"/>
      <c r="S85" s="36"/>
      <c r="T85" s="36"/>
      <c r="U85" s="36"/>
      <c r="V85" s="36"/>
      <c r="W85" s="90"/>
      <c r="X85" s="91"/>
    </row>
    <row r="86" spans="1:24" s="37" customFormat="1" ht="14.1" customHeight="1">
      <c r="B86" s="32"/>
      <c r="C86" s="38" t="s">
        <v>29</v>
      </c>
      <c r="D86" s="21" t="s">
        <v>61</v>
      </c>
      <c r="E86" s="32"/>
      <c r="F86" s="32"/>
      <c r="G86" s="32"/>
      <c r="H86" s="32"/>
      <c r="I86" s="32"/>
      <c r="J86" s="32"/>
      <c r="K86" s="32"/>
      <c r="L86" s="32"/>
      <c r="M86" s="36"/>
      <c r="N86" s="89"/>
      <c r="O86" s="89"/>
      <c r="P86" s="89"/>
      <c r="Q86" s="89"/>
      <c r="R86" s="89"/>
      <c r="S86" s="36"/>
      <c r="T86" s="36"/>
      <c r="U86" s="36"/>
      <c r="V86" s="36"/>
      <c r="W86" s="90"/>
      <c r="X86" s="91"/>
    </row>
    <row r="87" spans="1:24" s="37" customFormat="1" ht="6" customHeight="1">
      <c r="B87" s="32"/>
      <c r="C87" s="30"/>
      <c r="D87" s="14"/>
      <c r="E87" s="32"/>
      <c r="F87" s="32"/>
      <c r="G87" s="32"/>
      <c r="H87" s="32"/>
      <c r="I87" s="32"/>
      <c r="J87" s="32"/>
      <c r="K87" s="32"/>
      <c r="L87" s="32"/>
      <c r="M87" s="36"/>
      <c r="N87" s="89"/>
      <c r="O87" s="89"/>
      <c r="P87" s="89"/>
      <c r="Q87" s="89"/>
      <c r="R87" s="89"/>
      <c r="S87" s="36"/>
      <c r="T87" s="36"/>
      <c r="U87" s="36"/>
      <c r="V87" s="36"/>
      <c r="W87" s="90"/>
      <c r="X87" s="91"/>
    </row>
    <row r="88" spans="1:24" s="37" customFormat="1" ht="14.1" customHeight="1">
      <c r="B88" s="35" t="s">
        <v>62</v>
      </c>
      <c r="C88" s="30"/>
      <c r="D88" s="14"/>
      <c r="E88" s="32"/>
      <c r="F88" s="32"/>
      <c r="G88" s="32"/>
      <c r="H88" s="32"/>
      <c r="I88" s="32"/>
      <c r="J88" s="32"/>
      <c r="K88" s="32"/>
      <c r="L88" s="32"/>
      <c r="M88" s="36"/>
      <c r="N88" s="89"/>
      <c r="O88" s="89"/>
      <c r="P88" s="89"/>
      <c r="Q88" s="89"/>
      <c r="R88" s="89"/>
      <c r="S88" s="36"/>
      <c r="T88" s="36"/>
      <c r="U88" s="36"/>
      <c r="V88" s="36"/>
      <c r="W88" s="90"/>
      <c r="X88" s="91"/>
    </row>
    <row r="89" spans="1:24" s="37" customFormat="1" ht="14.1" customHeight="1">
      <c r="A89" s="5"/>
      <c r="B89" s="17"/>
      <c r="C89" s="19" t="s">
        <v>8</v>
      </c>
      <c r="D89" s="21" t="s">
        <v>63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5"/>
      <c r="X89" s="5"/>
    </row>
    <row r="90" spans="1:24" s="5" customFormat="1" ht="14.1" customHeight="1">
      <c r="B90" s="12"/>
      <c r="C90" s="11"/>
      <c r="D90" s="21" t="s">
        <v>64</v>
      </c>
    </row>
    <row r="91" spans="1:24" s="5" customFormat="1" ht="6" customHeight="1">
      <c r="B91" s="12"/>
      <c r="C91" s="11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</row>
    <row r="92" spans="1:24" s="5" customFormat="1" ht="6" customHeight="1">
      <c r="B92" s="12"/>
      <c r="C92" s="11"/>
      <c r="D92" s="1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s="5" customFormat="1" ht="6" customHeight="1">
      <c r="B93" s="12"/>
      <c r="C93" s="11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s="5" customFormat="1" ht="6" customHeight="1">
      <c r="B94" s="25"/>
      <c r="C94" s="24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spans="1:24" s="5" customFormat="1" ht="14.1" customHeight="1">
      <c r="B95" s="12" t="s">
        <v>65</v>
      </c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spans="1:24" s="5" customFormat="1" ht="6" customHeight="1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spans="1:24" s="5" customFormat="1" ht="14.1" customHeight="1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 t="s">
        <v>66</v>
      </c>
      <c r="V97" s="12"/>
      <c r="W97" s="12"/>
      <c r="X97" s="12"/>
    </row>
    <row r="98" spans="1:24" s="5" customFormat="1" ht="14.1" customHeight="1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 t="s">
        <v>67</v>
      </c>
      <c r="V98" s="12"/>
      <c r="W98" s="12"/>
      <c r="X98" s="12"/>
    </row>
    <row r="99" spans="1:24" s="5" customFormat="1" ht="6" customHeight="1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spans="1:24" s="5" customFormat="1" ht="6" customHeight="1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spans="1:24" s="5" customFormat="1" ht="6" customHeight="1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27"/>
      <c r="V101" s="27"/>
      <c r="W101" s="27"/>
      <c r="X101" s="27"/>
    </row>
    <row r="102" spans="1:24" s="5" customFormat="1" ht="14.1" customHeight="1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 t="s">
        <v>68</v>
      </c>
      <c r="V102" s="12"/>
      <c r="W102" s="12"/>
      <c r="X102" s="12"/>
    </row>
    <row r="103" spans="1:24" s="5" customFormat="1" ht="14.1" customHeight="1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 t="s">
        <v>69</v>
      </c>
      <c r="V103" s="12"/>
      <c r="W103" s="12"/>
      <c r="X103" s="12"/>
    </row>
    <row r="104" spans="1:24" s="5" customFormat="1" ht="14.1" customHeight="1">
      <c r="A104" s="6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2" t="s">
        <v>70</v>
      </c>
      <c r="V104" s="12"/>
      <c r="W104" s="13"/>
      <c r="X104" s="13"/>
    </row>
    <row r="105" spans="1:24" s="6" customFormat="1" ht="6" customHeight="1"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2"/>
      <c r="V105" s="12"/>
      <c r="W105" s="13"/>
      <c r="X105" s="13"/>
    </row>
    <row r="106" spans="1:24" s="6" customFormat="1" ht="6" customHeight="1"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2"/>
      <c r="V106" s="12"/>
      <c r="W106" s="13"/>
      <c r="X106" s="13"/>
    </row>
    <row r="107" spans="1:24" s="6" customFormat="1" ht="14.1" customHeight="1">
      <c r="A107" s="63"/>
      <c r="B107" s="31" t="s">
        <v>71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2"/>
      <c r="N107" s="88"/>
      <c r="O107" s="88"/>
      <c r="P107" s="88"/>
      <c r="Q107" s="88"/>
      <c r="R107" s="88"/>
      <c r="S107" s="32"/>
      <c r="T107" s="32"/>
      <c r="U107" s="32"/>
      <c r="V107" s="32"/>
      <c r="W107" s="92"/>
      <c r="X107" s="87"/>
    </row>
    <row r="108" spans="1:24" s="63" customFormat="1" ht="14.1" customHeight="1">
      <c r="B108" s="31"/>
      <c r="C108" s="30" t="s">
        <v>8</v>
      </c>
      <c r="D108" s="31" t="s">
        <v>72</v>
      </c>
      <c r="E108" s="31"/>
      <c r="F108" s="31"/>
      <c r="G108" s="31"/>
      <c r="H108" s="31"/>
      <c r="I108" s="31"/>
      <c r="J108" s="31"/>
      <c r="K108" s="31"/>
      <c r="L108" s="31"/>
      <c r="M108" s="32"/>
      <c r="N108" s="88"/>
      <c r="O108" s="88"/>
      <c r="P108" s="88"/>
      <c r="Q108" s="88"/>
      <c r="R108" s="88"/>
      <c r="S108" s="32"/>
      <c r="T108" s="32"/>
      <c r="U108" s="32"/>
      <c r="V108" s="32"/>
      <c r="W108" s="92"/>
      <c r="X108" s="87"/>
    </row>
    <row r="109" spans="1:24" s="63" customFormat="1" ht="14.1" customHeight="1">
      <c r="B109" s="31"/>
      <c r="C109" s="30" t="s">
        <v>29</v>
      </c>
      <c r="D109" s="31" t="s">
        <v>73</v>
      </c>
      <c r="E109" s="31"/>
      <c r="F109" s="31"/>
      <c r="G109" s="31"/>
      <c r="H109" s="31"/>
      <c r="I109" s="31"/>
      <c r="J109" s="31"/>
      <c r="K109" s="31"/>
      <c r="L109" s="31"/>
      <c r="M109" s="32"/>
      <c r="N109" s="88"/>
      <c r="O109" s="88"/>
      <c r="P109" s="88"/>
      <c r="Q109" s="88"/>
      <c r="R109" s="88"/>
      <c r="S109" s="32"/>
      <c r="T109" s="32"/>
      <c r="U109" s="32"/>
      <c r="V109" s="32"/>
      <c r="W109" s="92"/>
      <c r="X109" s="87"/>
    </row>
    <row r="110" spans="1:24" s="63" customFormat="1" ht="6" customHeight="1">
      <c r="B110" s="31"/>
      <c r="C110" s="31"/>
      <c r="D110" s="30"/>
      <c r="E110" s="31"/>
      <c r="F110" s="31"/>
      <c r="G110" s="31"/>
      <c r="H110" s="31"/>
      <c r="I110" s="31"/>
      <c r="J110" s="31"/>
      <c r="K110" s="31"/>
      <c r="L110" s="31"/>
      <c r="M110" s="32"/>
      <c r="N110" s="88"/>
      <c r="O110" s="88"/>
      <c r="P110" s="88"/>
      <c r="Q110" s="88"/>
      <c r="R110" s="88"/>
      <c r="S110" s="32"/>
      <c r="T110" s="32"/>
      <c r="U110" s="32"/>
      <c r="V110" s="32"/>
      <c r="W110" s="92"/>
      <c r="X110" s="87"/>
    </row>
    <row r="111" spans="1:24" s="63" customFormat="1" ht="14.1" customHeight="1">
      <c r="B111" s="31"/>
      <c r="C111" s="31"/>
      <c r="D111" s="30"/>
      <c r="E111" s="31"/>
      <c r="F111" s="31"/>
      <c r="G111" s="31"/>
      <c r="H111" s="31"/>
      <c r="I111" s="31"/>
      <c r="J111" s="31"/>
      <c r="K111" s="31"/>
      <c r="L111" s="31"/>
      <c r="M111" s="32"/>
      <c r="N111" s="88"/>
      <c r="O111" s="88"/>
      <c r="P111" s="88"/>
      <c r="Q111" s="88"/>
      <c r="R111" s="88"/>
      <c r="S111" s="32"/>
      <c r="T111" s="32"/>
      <c r="U111" s="32"/>
      <c r="V111" s="32"/>
      <c r="W111" s="92"/>
      <c r="X111" s="87"/>
    </row>
    <row r="112" spans="1:24" s="63" customFormat="1" ht="14.1" customHeight="1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2"/>
      <c r="N112" s="88"/>
      <c r="O112" s="88"/>
      <c r="P112" s="88"/>
      <c r="Q112" s="88"/>
      <c r="R112" s="88"/>
      <c r="S112" s="32"/>
      <c r="T112" s="32"/>
      <c r="U112" s="32"/>
      <c r="V112" s="32"/>
      <c r="W112" s="92"/>
      <c r="X112" s="87"/>
    </row>
    <row r="113" spans="1:24" s="63" customFormat="1" ht="15" customHeight="1">
      <c r="B113" s="31"/>
      <c r="C113" s="31"/>
      <c r="D113" s="30"/>
    </row>
    <row r="114" spans="1:24" s="63" customFormat="1" ht="15" customHeight="1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9"/>
      <c r="U114" s="8"/>
      <c r="V114" s="8"/>
      <c r="W114" s="97"/>
      <c r="X114" s="97"/>
    </row>
    <row r="115" spans="1:24" ht="13.5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9"/>
      <c r="U115" s="8"/>
      <c r="V115" s="8"/>
      <c r="W115" s="97"/>
      <c r="X115" s="97"/>
    </row>
    <row r="116" spans="1:24" ht="13.5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9"/>
      <c r="U116" s="8"/>
      <c r="V116" s="8"/>
      <c r="W116" s="97"/>
      <c r="X116" s="97"/>
    </row>
    <row r="117" spans="1:24" ht="13.5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9"/>
      <c r="U117" s="8"/>
      <c r="V117" s="8"/>
      <c r="W117" s="97"/>
      <c r="X117" s="97"/>
    </row>
    <row r="118" spans="1:24" ht="13.5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9"/>
      <c r="U118" s="8"/>
      <c r="V118" s="8"/>
      <c r="W118" s="97"/>
      <c r="X118" s="97"/>
    </row>
    <row r="119" spans="1:24" ht="13.5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9"/>
      <c r="U119" s="8"/>
      <c r="V119" s="8"/>
      <c r="W119" s="97"/>
      <c r="X119" s="97"/>
    </row>
    <row r="120" spans="1:24" ht="13.5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9"/>
      <c r="U120" s="8"/>
      <c r="V120" s="8"/>
      <c r="W120" s="97"/>
      <c r="X120" s="97"/>
    </row>
    <row r="121" spans="1:24" ht="13.5" customHeight="1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9"/>
      <c r="U121" s="8"/>
      <c r="V121" s="8"/>
      <c r="W121" s="97"/>
      <c r="X121" s="97"/>
    </row>
    <row r="122" spans="1:24" ht="13.5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9"/>
      <c r="U122" s="8"/>
      <c r="V122" s="8"/>
      <c r="W122" s="97"/>
      <c r="X122" s="97"/>
    </row>
    <row r="123" spans="1:24" ht="13.5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97"/>
      <c r="X123" s="97"/>
    </row>
    <row r="124" spans="1:24" ht="13.5" customHeight="1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9"/>
      <c r="U124" s="8"/>
      <c r="V124" s="8"/>
      <c r="W124" s="97"/>
      <c r="X124" s="97"/>
    </row>
    <row r="125" spans="1:24" ht="13.5" customHeight="1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9"/>
      <c r="U125" s="8"/>
      <c r="V125" s="8"/>
      <c r="W125" s="97"/>
      <c r="X125" s="97"/>
    </row>
    <row r="126" spans="1:24" ht="13.5" customHeight="1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9"/>
      <c r="U126" s="8"/>
      <c r="V126" s="8"/>
      <c r="W126" s="97"/>
      <c r="X126" s="97"/>
    </row>
    <row r="127" spans="1:24" ht="13.5" customHeight="1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9"/>
      <c r="U127" s="8"/>
      <c r="V127" s="8"/>
      <c r="W127" s="97"/>
      <c r="X127" s="97"/>
    </row>
    <row r="128" spans="1:24" ht="13.5" customHeight="1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9"/>
      <c r="U128" s="8"/>
      <c r="V128" s="8"/>
      <c r="W128" s="97"/>
      <c r="X128" s="97"/>
    </row>
    <row r="129" spans="2:24" ht="13.5" customHeight="1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9"/>
      <c r="U129" s="8"/>
      <c r="V129" s="8"/>
      <c r="W129" s="97"/>
      <c r="X129" s="97"/>
    </row>
    <row r="130" spans="2:24" ht="13.5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9"/>
      <c r="U130" s="8"/>
      <c r="V130" s="8"/>
      <c r="W130" s="97"/>
      <c r="X130" s="97"/>
    </row>
    <row r="131" spans="2:24" ht="13.5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9"/>
      <c r="U131" s="8"/>
      <c r="V131" s="8"/>
      <c r="W131" s="97"/>
      <c r="X131" s="97"/>
    </row>
    <row r="132" spans="2:24" ht="13.5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9"/>
      <c r="U132" s="8"/>
      <c r="V132" s="8"/>
      <c r="W132" s="97"/>
      <c r="X132" s="97"/>
    </row>
    <row r="133" spans="2:24" ht="13.5" customHeight="1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9"/>
      <c r="U133" s="8"/>
      <c r="V133" s="8"/>
      <c r="W133" s="97"/>
      <c r="X133" s="97"/>
    </row>
    <row r="134" spans="2:24" ht="13.5" customHeight="1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9"/>
      <c r="U134" s="8"/>
      <c r="V134" s="8"/>
      <c r="W134" s="97"/>
      <c r="X134" s="97"/>
    </row>
    <row r="135" spans="2:24" ht="13.5" customHeight="1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9"/>
      <c r="U135" s="8"/>
      <c r="V135" s="8"/>
      <c r="W135" s="97"/>
      <c r="X135" s="97"/>
    </row>
    <row r="136" spans="2:24" ht="13.5" customHeight="1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9"/>
      <c r="U136" s="8"/>
      <c r="V136" s="8"/>
      <c r="W136" s="97"/>
      <c r="X136" s="97"/>
    </row>
    <row r="137" spans="2:24" ht="13.5" customHeight="1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9"/>
      <c r="U137" s="8"/>
      <c r="V137" s="8"/>
      <c r="W137" s="97"/>
      <c r="X137" s="97"/>
    </row>
    <row r="138" spans="2:24" ht="13.5" customHeight="1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9"/>
      <c r="U138" s="8"/>
      <c r="V138" s="8"/>
      <c r="W138" s="97"/>
      <c r="X138" s="97"/>
    </row>
    <row r="139" spans="2:24" ht="13.5" customHeight="1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9"/>
      <c r="U139" s="8"/>
      <c r="V139" s="8"/>
      <c r="W139" s="97"/>
      <c r="X139" s="97"/>
    </row>
    <row r="140" spans="2:24" ht="13.5" customHeight="1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9"/>
      <c r="U140" s="8"/>
      <c r="V140" s="8"/>
      <c r="W140" s="97"/>
      <c r="X140" s="97"/>
    </row>
    <row r="141" spans="2:24" ht="13.5" customHeight="1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9"/>
      <c r="U141" s="8"/>
      <c r="V141" s="8"/>
      <c r="W141" s="97"/>
      <c r="X141" s="97"/>
    </row>
    <row r="142" spans="2:24" ht="13.5" customHeight="1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9"/>
      <c r="U142" s="8"/>
      <c r="V142" s="8"/>
      <c r="W142" s="97"/>
      <c r="X142" s="97"/>
    </row>
    <row r="143" spans="2:24" ht="13.5" customHeight="1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9"/>
      <c r="U143" s="8"/>
      <c r="V143" s="8"/>
      <c r="W143" s="97"/>
      <c r="X143" s="97"/>
    </row>
    <row r="144" spans="2:24" ht="13.5" customHeight="1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9"/>
      <c r="U144" s="8"/>
      <c r="V144" s="8"/>
      <c r="W144" s="97"/>
      <c r="X144" s="97"/>
    </row>
    <row r="145" spans="2:24" ht="13.5" customHeight="1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9"/>
      <c r="U145" s="8"/>
      <c r="V145" s="8"/>
      <c r="W145" s="97"/>
      <c r="X145" s="97"/>
    </row>
    <row r="146" spans="2:24" ht="13.5" customHeight="1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9"/>
      <c r="U146" s="8"/>
      <c r="V146" s="8"/>
      <c r="W146" s="97"/>
      <c r="X146" s="97"/>
    </row>
    <row r="147" spans="2:24" ht="13.5" customHeight="1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9"/>
      <c r="U147" s="8"/>
      <c r="V147" s="8"/>
      <c r="W147" s="97"/>
      <c r="X147" s="97"/>
    </row>
    <row r="148" spans="2:24" ht="13.5" customHeight="1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9"/>
      <c r="U148" s="8"/>
      <c r="V148" s="8"/>
      <c r="W148" s="97"/>
      <c r="X148" s="97"/>
    </row>
    <row r="149" spans="2:24" ht="13.5" customHeight="1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9"/>
      <c r="U149" s="8"/>
      <c r="V149" s="8"/>
      <c r="W149" s="97"/>
      <c r="X149" s="97"/>
    </row>
    <row r="150" spans="2:24" ht="13.5" customHeight="1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9"/>
      <c r="U150" s="8"/>
      <c r="V150" s="8"/>
      <c r="W150" s="97"/>
      <c r="X150" s="97"/>
    </row>
    <row r="151" spans="2:24" ht="13.5" customHeight="1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9"/>
      <c r="U151" s="8"/>
      <c r="V151" s="8"/>
      <c r="W151" s="97"/>
      <c r="X151" s="97"/>
    </row>
    <row r="152" spans="2:24" ht="13.5" customHeight="1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9"/>
      <c r="U152" s="8"/>
      <c r="V152" s="8"/>
      <c r="W152" s="97"/>
      <c r="X152" s="97"/>
    </row>
    <row r="153" spans="2:24" ht="13.5" customHeight="1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9"/>
      <c r="U153" s="8"/>
      <c r="V153" s="8"/>
      <c r="W153" s="97"/>
      <c r="X153" s="97"/>
    </row>
    <row r="154" spans="2:24" ht="13.5" customHeight="1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9"/>
      <c r="U154" s="8"/>
      <c r="V154" s="8"/>
      <c r="W154" s="97"/>
      <c r="X154" s="97"/>
    </row>
    <row r="155" spans="2:24" ht="13.5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9"/>
      <c r="U155" s="8"/>
      <c r="V155" s="8"/>
      <c r="W155" s="97"/>
      <c r="X155" s="97"/>
    </row>
    <row r="156" spans="2:24" ht="13.5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9"/>
      <c r="U156" s="8"/>
      <c r="V156" s="8"/>
      <c r="W156" s="97"/>
      <c r="X156" s="97"/>
    </row>
    <row r="157" spans="2:24" ht="13.5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9"/>
      <c r="U157" s="8"/>
      <c r="V157" s="8"/>
      <c r="W157" s="97"/>
      <c r="X157" s="97"/>
    </row>
    <row r="158" spans="2:24" ht="13.5" customHeight="1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9"/>
      <c r="U158" s="8"/>
      <c r="V158" s="8"/>
      <c r="W158" s="97"/>
      <c r="X158" s="97"/>
    </row>
    <row r="159" spans="2:24" ht="13.5" customHeight="1"/>
  </sheetData>
  <mergeCells count="32">
    <mergeCell ref="D59:X59"/>
    <mergeCell ref="D67:X67"/>
    <mergeCell ref="D68:X68"/>
    <mergeCell ref="E41:X41"/>
    <mergeCell ref="W2:X2"/>
    <mergeCell ref="E34:K34"/>
    <mergeCell ref="L27:M27"/>
    <mergeCell ref="B5:X5"/>
    <mergeCell ref="E27:K27"/>
    <mergeCell ref="N34:V34"/>
    <mergeCell ref="E23:K23"/>
    <mergeCell ref="L26:M26"/>
    <mergeCell ref="L25:M25"/>
    <mergeCell ref="E29:W29"/>
    <mergeCell ref="N28:U28"/>
    <mergeCell ref="E28:K28"/>
    <mergeCell ref="L34:M34"/>
    <mergeCell ref="B11:X11"/>
    <mergeCell ref="L23:M23"/>
    <mergeCell ref="E24:K24"/>
    <mergeCell ref="W3:X3"/>
    <mergeCell ref="E33:K33"/>
    <mergeCell ref="E26:K26"/>
    <mergeCell ref="N33:V33"/>
    <mergeCell ref="N23:V23"/>
    <mergeCell ref="E25:K25"/>
    <mergeCell ref="L24:M24"/>
    <mergeCell ref="L33:M33"/>
    <mergeCell ref="N24:V24"/>
    <mergeCell ref="N25:V25"/>
    <mergeCell ref="N26:V26"/>
    <mergeCell ref="N27:V27"/>
  </mergeCells>
  <phoneticPr fontId="2"/>
  <printOptions horizontalCentered="1"/>
  <pageMargins left="0.59055118110236227" right="0.39370078740157483" top="0.59055118110236227" bottom="0.59055118110236227" header="0.51181102362204722" footer="0.31496062992125978"/>
  <pageSetup paperSize="9" scale="65" fitToHeight="0" orientation="portrait"/>
  <headerFooter alignWithMargins="0">
    <oddFooter>&amp;C&amp;9 Primetals Technologies Japan, Ltd.
6-22, Kanonshin-machi 4-Chome, Nishi-ku, Hiroshima, 733-8533 JAPAN
TEL: +81(82)534-0493 FAX: +81(82)294-0429
&amp;P/&amp;N</oddFooter>
  </headerFooter>
  <rowBreaks count="2" manualBreakCount="2">
    <brk id="64" max="22" man="1"/>
    <brk id="135" min="1" max="22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quotation  (2)</vt:lpstr>
      <vt:lpstr>'quotation  (2)'!Print_Area</vt:lpstr>
      <vt:lpstr>'quotation 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三菱日立製鉄機械株式会社</dc:creator>
  <cp:keywords>C_Restricted</cp:keywords>
  <cp:lastModifiedBy>Kim, Yejun</cp:lastModifiedBy>
  <cp:lastPrinted>2026-06-08T08:34:38Z</cp:lastPrinted>
  <dcterms:created xsi:type="dcterms:W3CDTF">2015-05-28T02:47:59Z</dcterms:created>
  <dcterms:modified xsi:type="dcterms:W3CDTF">2026-08-05T07:18:25Z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1682543975</vt:i4>
  </property>
  <property fmtid="{D5CDD505-2E9C-101B-9397-08002B2CF9AE}" pid="3" name="_NewReviewCycle">
    <vt:lpwstr/>
  </property>
  <property fmtid="{D5CDD505-2E9C-101B-9397-08002B2CF9AE}" pid="4" name="_EmailSubject">
    <vt:lpwstr>Re: FHS No.1 HSM: Technical support Quotation 【CONFIDENTIAL】</vt:lpwstr>
  </property>
  <property fmtid="{D5CDD505-2E9C-101B-9397-08002B2CF9AE}" pid="5" name="_AuthorEmail">
    <vt:lpwstr>takeshi.iwasaki@primetals.com</vt:lpwstr>
  </property>
  <property fmtid="{D5CDD505-2E9C-101B-9397-08002B2CF9AE}" pid="6" name="_AuthorEmailDisplayName">
    <vt:lpwstr>Iwasaki, Takeshi</vt:lpwstr>
  </property>
  <property fmtid="{D5CDD505-2E9C-101B-9397-08002B2CF9AE}" pid="7" name="_PreviousAdHocReviewCycleID">
    <vt:i4>193418708</vt:i4>
  </property>
  <property fmtid="{D5CDD505-2E9C-101B-9397-08002B2CF9AE}" pid="8" name="_ReviewingToolsShownOnce">
    <vt:lpwstr/>
  </property>
</Properties>
</file>
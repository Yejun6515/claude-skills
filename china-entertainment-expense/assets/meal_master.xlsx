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006K14G\.claude\skills\china-entertainment-expense\assets\"/>
    </mc:Choice>
  </mc:AlternateContent>
  <xr:revisionPtr revIDLastSave="0" documentId="13_ncr:1_{D1144FA1-DDF9-4EFB-81D0-FA6DDEC4E3F9}" xr6:coauthVersionLast="47" xr6:coauthVersionMax="47" xr10:uidLastSave="{00000000-0000-0000-0000-000000000000}"/>
  <bookViews>
    <workbookView xWindow="59970" yWindow="2445" windowWidth="21600" windowHeight="11295" xr2:uid="{ED119301-3F11-4DA7-A211-FE9451F448B1}"/>
  </bookViews>
  <sheets>
    <sheet name="飲食費　国税要件保存書類（白黒印刷で提出）" sheetId="1" r:id="rId1"/>
    <sheet name="（参考）飲食費の範囲" sheetId="2" r:id="rId2"/>
  </sheets>
  <definedNames>
    <definedName name="_DAT1">#REF!</definedName>
    <definedName name="_DAT10">#REF!</definedName>
    <definedName name="_DAT11">#REF!</definedName>
    <definedName name="_DAT12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xlnm.Print_Area" localSheetId="0">'飲食費　国税要件保存書類（白黒印刷で提出）'!$A$1:$L$62</definedName>
    <definedName name="TABLE">#REF!</definedName>
    <definedName name="TEST0">#REF!</definedName>
    <definedName name="TESTHKEY">#REF!</definedName>
    <definedName name="TESTKEYS">#REF!</definedName>
    <definedName name="TESTVKEY">#REF!</definedName>
    <definedName name="TITLE">#REF!</definedName>
    <definedName name="支払い依頼書ﾌｫｰﾏｯ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5" i="1" l="1"/>
  <c r="K36" i="1"/>
  <c r="L26" i="1"/>
  <c r="L25" i="1" s="1"/>
  <c r="H16" i="1"/>
  <c r="I3" i="1"/>
  <c r="L13" i="1"/>
  <c r="B54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5" i="1"/>
  <c r="B56" i="1"/>
  <c r="L44" i="1"/>
  <c r="L14" i="1"/>
  <c r="L15" i="1"/>
  <c r="K26" i="1"/>
  <c r="K25" i="1" s="1"/>
  <c r="L12" i="1"/>
  <c r="L10" i="1"/>
  <c r="B9" i="1"/>
  <c r="B10" i="1"/>
  <c r="B11" i="1"/>
  <c r="B12" i="1"/>
  <c r="B13" i="1"/>
  <c r="B14" i="1"/>
  <c r="B15" i="1"/>
  <c r="L43" i="1"/>
  <c r="L41" i="1"/>
  <c r="L32" i="1"/>
  <c r="L23" i="1"/>
  <c r="L8" i="1"/>
  <c r="K35" i="1"/>
  <c r="K34" i="1" s="1"/>
  <c r="L6" i="1"/>
  <c r="K44" i="1"/>
  <c r="D57" i="1"/>
  <c r="E5" i="1" s="1"/>
  <c r="B7" i="1"/>
  <c r="B8" i="1"/>
  <c r="L35" i="1" l="1"/>
  <c r="L36" i="1" s="1"/>
  <c r="K28" i="1"/>
  <c r="K45" i="1"/>
  <c r="H44" i="1" s="1"/>
  <c r="H45" i="1" s="1"/>
  <c r="L34" i="1" l="1"/>
  <c r="K37" i="1" s="1"/>
  <c r="H36" i="1" s="1"/>
  <c r="H37" i="1" s="1"/>
  <c r="H27" i="1"/>
  <c r="H28" i="1" s="1"/>
</calcChain>
</file>

<file path=xl/sharedStrings.xml><?xml version="1.0" encoding="utf-8"?>
<sst xmlns="http://schemas.openxmlformats.org/spreadsheetml/2006/main" count="60" uniqueCount="53">
  <si>
    <t>会社名</t>
  </si>
  <si>
    <t>氏名</t>
  </si>
  <si>
    <t>役職</t>
  </si>
  <si>
    <t>飲食費（国税要件保存書類）</t>
  </si>
  <si>
    <t>実施年月日</t>
  </si>
  <si>
    <t>合計</t>
  </si>
  <si>
    <t>名</t>
  </si>
  <si>
    <t>税抜合計</t>
  </si>
  <si>
    <t>税込合計</t>
  </si>
  <si>
    <t>金額（外貨）</t>
  </si>
  <si>
    <t>通貨</t>
  </si>
  <si>
    <t>Rate</t>
  </si>
  <si>
    <t>金額（円貨）</t>
  </si>
  <si>
    <t>外貨合計</t>
  </si>
  <si>
    <t>Y-MAP決裁管理番号：</t>
  </si>
  <si>
    <t>【参加者情報】</t>
  </si>
  <si>
    <t>【精算項目】</t>
  </si>
  <si>
    <t>使用店名</t>
  </si>
  <si>
    <t>《参考：飲食費の範囲（国税HPより》</t>
  </si>
  <si>
    <t>円換算額</t>
  </si>
  <si>
    <t>※Rate証明書の添付要</t>
  </si>
  <si>
    <t>注1.</t>
  </si>
  <si>
    <t>注2.</t>
  </si>
  <si>
    <t>税</t>
    <phoneticPr fontId="4"/>
  </si>
  <si>
    <t>税区分</t>
    <rPh sb="0" eb="3">
      <t>ゼイクブン</t>
    </rPh>
    <phoneticPr fontId="4"/>
  </si>
  <si>
    <t>備考欄</t>
    <rPh sb="0" eb="3">
      <t>ビコウラン</t>
    </rPh>
    <phoneticPr fontId="4"/>
  </si>
  <si>
    <t>EUR</t>
  </si>
  <si>
    <t>外貨取引</t>
    <rPh sb="0" eb="2">
      <t>ガイカ</t>
    </rPh>
    <rPh sb="2" eb="4">
      <t>トリヒキ</t>
    </rPh>
    <phoneticPr fontId="4"/>
  </si>
  <si>
    <t>適格事業者取引</t>
    <rPh sb="0" eb="5">
      <t>テキカクジギョウシャ</t>
    </rPh>
    <rPh sb="5" eb="7">
      <t>トリヒキ</t>
    </rPh>
    <phoneticPr fontId="4"/>
  </si>
  <si>
    <t>免税事業者取引</t>
    <rPh sb="0" eb="2">
      <t>メンゼイ</t>
    </rPh>
    <rPh sb="2" eb="5">
      <t>ジギョウシャ</t>
    </rPh>
    <rPh sb="5" eb="7">
      <t>トリヒキ</t>
    </rPh>
    <phoneticPr fontId="4"/>
  </si>
  <si>
    <t>※免税事業者との取引の場合は、</t>
    <rPh sb="1" eb="3">
      <t>メンゼイ</t>
    </rPh>
    <rPh sb="3" eb="6">
      <t>ジギョウシャ</t>
    </rPh>
    <rPh sb="8" eb="10">
      <t>トリヒキ</t>
    </rPh>
    <rPh sb="11" eb="13">
      <t>バアイ</t>
    </rPh>
    <phoneticPr fontId="4"/>
  </si>
  <si>
    <t>※控除対象外</t>
    <rPh sb="1" eb="3">
      <t>コウジョ</t>
    </rPh>
    <rPh sb="3" eb="6">
      <t>タイショウガイ</t>
    </rPh>
    <phoneticPr fontId="4"/>
  </si>
  <si>
    <t>2023.10.1 ～ 2026.9.30</t>
    <phoneticPr fontId="4"/>
  </si>
  <si>
    <t>経過措置期間</t>
    <rPh sb="0" eb="4">
      <t>ケイカソチ</t>
    </rPh>
    <rPh sb="4" eb="6">
      <t>キカン</t>
    </rPh>
    <phoneticPr fontId="4"/>
  </si>
  <si>
    <t>2026.10.1 ～ 2029.9.30</t>
    <phoneticPr fontId="4"/>
  </si>
  <si>
    <t xml:space="preserve">2029.10.1 ～ </t>
    <phoneticPr fontId="4"/>
  </si>
  <si>
    <t>　※仕入税額の控除対象外相当額は費用計上となります。</t>
    <rPh sb="2" eb="6">
      <t>シイレゼイガク</t>
    </rPh>
    <rPh sb="7" eb="11">
      <t>コウジョタイショウ</t>
    </rPh>
    <rPh sb="11" eb="12">
      <t>ガイ</t>
    </rPh>
    <rPh sb="12" eb="15">
      <t>ソウトウガク</t>
    </rPh>
    <rPh sb="16" eb="18">
      <t>ヒヨウ</t>
    </rPh>
    <rPh sb="18" eb="20">
      <t>ケイジョウ</t>
    </rPh>
    <phoneticPr fontId="4"/>
  </si>
  <si>
    <t>　1人当たりの単価額の計算方法が異なります。</t>
    <rPh sb="13" eb="15">
      <t>ホウホウ</t>
    </rPh>
    <rPh sb="16" eb="17">
      <t>コト</t>
    </rPh>
    <phoneticPr fontId="4"/>
  </si>
  <si>
    <t>仕入税額控除
経過措置割合</t>
    <rPh sb="0" eb="4">
      <t>シイレゼイガク</t>
    </rPh>
    <rPh sb="4" eb="6">
      <t>コウジョ</t>
    </rPh>
    <rPh sb="7" eb="11">
      <t>ケイカソチ</t>
    </rPh>
    <rPh sb="11" eb="13">
      <t>ワリアイ</t>
    </rPh>
    <phoneticPr fontId="4"/>
  </si>
  <si>
    <t>仕入税額控除
対象外割合</t>
    <rPh sb="0" eb="4">
      <t>シイレゼイガク</t>
    </rPh>
    <rPh sb="4" eb="6">
      <t>コウジョ</t>
    </rPh>
    <rPh sb="7" eb="10">
      <t>タイショウガイ</t>
    </rPh>
    <rPh sb="10" eb="12">
      <t>ワリアイ</t>
    </rPh>
    <phoneticPr fontId="4"/>
  </si>
  <si>
    <t>取引を選択</t>
    <rPh sb="0" eb="2">
      <t>トリヒキ</t>
    </rPh>
    <rPh sb="3" eb="5">
      <t>センタク</t>
    </rPh>
    <phoneticPr fontId="4"/>
  </si>
  <si>
    <t>折半した会社1</t>
    <rPh sb="4" eb="6">
      <t>カイシャ</t>
    </rPh>
    <phoneticPr fontId="4"/>
  </si>
  <si>
    <t>折半した会社2</t>
    <rPh sb="4" eb="6">
      <t>カイシャ</t>
    </rPh>
    <phoneticPr fontId="4"/>
  </si>
  <si>
    <t>会社名</t>
    <rPh sb="0" eb="3">
      <t>カイシャメイ</t>
    </rPh>
    <phoneticPr fontId="4"/>
  </si>
  <si>
    <t>金額</t>
    <rPh sb="0" eb="2">
      <t>キンガク</t>
    </rPh>
    <phoneticPr fontId="4"/>
  </si>
  <si>
    <t>　他社との費用折半はありますか？</t>
    <rPh sb="1" eb="3">
      <t>タシャ</t>
    </rPh>
    <rPh sb="5" eb="7">
      <t>ヒヨウ</t>
    </rPh>
    <rPh sb="7" eb="9">
      <t>セッパン</t>
    </rPh>
    <phoneticPr fontId="4"/>
  </si>
  <si>
    <t>通貨</t>
    <rPh sb="0" eb="2">
      <t>ツウカ</t>
    </rPh>
    <phoneticPr fontId="4"/>
  </si>
  <si>
    <t>JPY</t>
  </si>
  <si>
    <t>追記：2024年4月9日 経理G長配信メール抜粋</t>
    <rPh sb="0" eb="2">
      <t>ツイキ</t>
    </rPh>
    <rPh sb="7" eb="8">
      <t>ネン</t>
    </rPh>
    <rPh sb="9" eb="10">
      <t>ガツ</t>
    </rPh>
    <rPh sb="11" eb="12">
      <t>ニチ</t>
    </rPh>
    <rPh sb="13" eb="15">
      <t>ケイリ</t>
    </rPh>
    <rPh sb="16" eb="17">
      <t>チョウ</t>
    </rPh>
    <rPh sb="17" eb="19">
      <t>ハイシン</t>
    </rPh>
    <rPh sb="22" eb="24">
      <t>バッスイ</t>
    </rPh>
    <phoneticPr fontId="4"/>
  </si>
  <si>
    <r>
      <t>本Excelは、</t>
    </r>
    <r>
      <rPr>
        <u/>
        <sz val="11"/>
        <color theme="1"/>
        <rFont val="游ゴシック"/>
        <family val="3"/>
        <charset val="128"/>
        <scheme val="minor"/>
      </rPr>
      <t xml:space="preserve">白黒印刷 </t>
    </r>
    <r>
      <rPr>
        <sz val="11"/>
        <color theme="1"/>
        <rFont val="游ゴシック"/>
        <family val="3"/>
        <charset val="128"/>
        <scheme val="minor"/>
      </rPr>
      <t>して支払伝票に添付下さい。</t>
    </r>
    <rPh sb="8" eb="10">
      <t>シロクロ</t>
    </rPh>
    <phoneticPr fontId="4"/>
  </si>
  <si>
    <t>飲食費に関わらず、スコアカードとY-MAPの「印刷」（決裁者等の情報が印刷されたもの）を必ず支払伝票に添付下さい。</t>
    <phoneticPr fontId="4"/>
  </si>
  <si>
    <t>※飲食費以外の交際費（手土産・観光・祝電・弔電等）の場合は作成不要</t>
    <rPh sb="31" eb="33">
      <t>フヨウ</t>
    </rPh>
    <phoneticPr fontId="4"/>
  </si>
  <si>
    <t>単価(円)/人</t>
    <rPh sb="3" eb="4">
      <t>エン</t>
    </rPh>
    <rPh sb="6" eb="7">
      <t>ヒト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</si>
</sst>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_ ;\-#,##0\ "/>
    <numFmt numFmtId="177" formatCode="yyyy&quot;年&quot;m&quot;月&quot;d&quot;日&quot;;@"/>
    <numFmt numFmtId="178" formatCode="#0&quot; %&quot;"/>
    <numFmt numFmtId="179" formatCode="#,##0.00_ ;\-#,##0.00\ "/>
  </numFmts>
  <fonts count="2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12"/>
      <color theme="1"/>
      <name val="游ゴシック"/>
      <family val="2"/>
      <scheme val="minor"/>
    </font>
    <font>
      <sz val="11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0000FF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rgb="FF0000FF"/>
      <name val="游ゴシック"/>
      <family val="3"/>
      <charset val="128"/>
      <scheme val="minor"/>
    </font>
    <font>
      <b/>
      <sz val="10"/>
      <color rgb="FF0000FF"/>
      <name val="游ゴシック"/>
      <family val="3"/>
      <charset val="128"/>
      <scheme val="minor"/>
    </font>
    <font>
      <sz val="9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  <font>
      <b/>
      <sz val="9"/>
      <color rgb="FF0000FF"/>
      <name val="游ゴシック"/>
      <family val="3"/>
      <charset val="128"/>
      <scheme val="minor"/>
    </font>
    <font>
      <sz val="8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b/>
      <sz val="11"/>
      <name val="游ゴシック"/>
      <family val="3"/>
      <charset val="128"/>
      <scheme val="minor"/>
    </font>
    <font>
      <b/>
      <sz val="10.5"/>
      <color rgb="FFFF0000"/>
      <name val="游ゴシック"/>
      <family val="3"/>
      <charset val="128"/>
      <scheme val="minor"/>
    </font>
    <font>
      <sz val="11"/>
      <color theme="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u/>
      <sz val="11"/>
      <color theme="1"/>
      <name val="游ゴシック"/>
      <family val="3"/>
      <charset val="128"/>
      <scheme val="minor"/>
    </font>
    <font>
      <b/>
      <sz val="10"/>
      <color theme="0"/>
      <name val="HGP明朝B"/>
      <family val="1"/>
      <charset val="128"/>
    </font>
    <font>
      <sz val="11"/>
      <name val="Malgun Gothic"/>
      <family val="2"/>
      <charset val="129"/>
    </font>
    <font>
      <sz val="11"/>
      <color theme="1"/>
      <name val="Malgun Gothic"/>
      <family val="2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3" fillId="0" borderId="0"/>
  </cellStyleXfs>
  <cellXfs count="111">
    <xf numFmtId="0" fontId="0" fillId="0" borderId="0" xfId="0"/>
    <xf numFmtId="0" fontId="0" fillId="0" borderId="0" xfId="0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right"/>
    </xf>
    <xf numFmtId="0" fontId="0" fillId="0" borderId="4" xfId="0" applyBorder="1"/>
    <xf numFmtId="0" fontId="0" fillId="0" borderId="9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0" xfId="0" applyFont="1"/>
    <xf numFmtId="177" fontId="0" fillId="0" borderId="0" xfId="0" applyNumberFormat="1" applyAlignment="1">
      <alignment horizontal="center"/>
    </xf>
    <xf numFmtId="176" fontId="0" fillId="3" borderId="3" xfId="0" applyNumberFormat="1" applyFill="1" applyBorder="1"/>
    <xf numFmtId="0" fontId="0" fillId="2" borderId="19" xfId="0" applyFill="1" applyBorder="1" applyAlignment="1" applyProtection="1">
      <alignment shrinkToFit="1"/>
      <protection locked="0"/>
    </xf>
    <xf numFmtId="0" fontId="0" fillId="2" borderId="20" xfId="0" applyFill="1" applyBorder="1" applyAlignment="1" applyProtection="1">
      <alignment shrinkToFit="1"/>
      <protection locked="0"/>
    </xf>
    <xf numFmtId="0" fontId="0" fillId="2" borderId="21" xfId="0" applyFill="1" applyBorder="1" applyAlignment="1" applyProtection="1">
      <alignment shrinkToFit="1"/>
      <protection locked="0"/>
    </xf>
    <xf numFmtId="176" fontId="5" fillId="3" borderId="26" xfId="1" applyNumberFormat="1" applyFont="1" applyFill="1" applyBorder="1" applyAlignment="1">
      <alignment shrinkToFit="1"/>
    </xf>
    <xf numFmtId="176" fontId="5" fillId="3" borderId="12" xfId="1" applyNumberFormat="1" applyFont="1" applyFill="1" applyBorder="1" applyAlignment="1" applyProtection="1">
      <alignment shrinkToFit="1"/>
      <protection locked="0"/>
    </xf>
    <xf numFmtId="0" fontId="7" fillId="0" borderId="0" xfId="0" applyFont="1"/>
    <xf numFmtId="0" fontId="8" fillId="0" borderId="0" xfId="0" applyFont="1"/>
    <xf numFmtId="0" fontId="5" fillId="0" borderId="26" xfId="0" applyFont="1" applyBorder="1"/>
    <xf numFmtId="0" fontId="5" fillId="0" borderId="12" xfId="0" applyFont="1" applyBorder="1"/>
    <xf numFmtId="0" fontId="5" fillId="0" borderId="34" xfId="0" applyFont="1" applyBorder="1"/>
    <xf numFmtId="0" fontId="5" fillId="0" borderId="33" xfId="0" applyFont="1" applyBorder="1"/>
    <xf numFmtId="0" fontId="10" fillId="0" borderId="0" xfId="0" applyFont="1"/>
    <xf numFmtId="0" fontId="9" fillId="0" borderId="0" xfId="0" applyFont="1"/>
    <xf numFmtId="9" fontId="0" fillId="0" borderId="0" xfId="0" applyNumberFormat="1"/>
    <xf numFmtId="9" fontId="0" fillId="0" borderId="1" xfId="0" applyNumberFormat="1" applyBorder="1" applyAlignment="1">
      <alignment horizontal="center"/>
    </xf>
    <xf numFmtId="9" fontId="6" fillId="0" borderId="0" xfId="0" applyNumberFormat="1" applyFont="1"/>
    <xf numFmtId="0" fontId="11" fillId="4" borderId="35" xfId="0" applyFont="1" applyFill="1" applyBorder="1"/>
    <xf numFmtId="9" fontId="11" fillId="4" borderId="22" xfId="0" applyNumberFormat="1" applyFont="1" applyFill="1" applyBorder="1" applyAlignment="1">
      <alignment horizontal="left"/>
    </xf>
    <xf numFmtId="176" fontId="5" fillId="4" borderId="22" xfId="1" applyNumberFormat="1" applyFont="1" applyFill="1" applyBorder="1"/>
    <xf numFmtId="0" fontId="12" fillId="0" borderId="0" xfId="0" applyFont="1"/>
    <xf numFmtId="0" fontId="0" fillId="0" borderId="1" xfId="0" applyBorder="1" applyAlignment="1">
      <alignment horizontal="center"/>
    </xf>
    <xf numFmtId="0" fontId="8" fillId="0" borderId="0" xfId="0" applyFont="1" applyAlignment="1">
      <alignment horizontal="right"/>
    </xf>
    <xf numFmtId="0" fontId="0" fillId="0" borderId="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37" xfId="0" applyFill="1" applyBorder="1" applyAlignment="1" applyProtection="1">
      <alignment horizontal="center"/>
      <protection locked="0"/>
    </xf>
    <xf numFmtId="179" fontId="0" fillId="2" borderId="1" xfId="1" applyNumberFormat="1" applyFont="1" applyFill="1" applyBorder="1" applyAlignment="1" applyProtection="1">
      <alignment shrinkToFit="1"/>
      <protection locked="0"/>
    </xf>
    <xf numFmtId="0" fontId="14" fillId="2" borderId="1" xfId="0" applyFont="1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 shrinkToFit="1"/>
      <protection locked="0"/>
    </xf>
    <xf numFmtId="0" fontId="15" fillId="0" borderId="0" xfId="0" applyFont="1"/>
    <xf numFmtId="0" fontId="5" fillId="0" borderId="23" xfId="0" applyFont="1" applyBorder="1"/>
    <xf numFmtId="0" fontId="5" fillId="0" borderId="32" xfId="0" applyFont="1" applyBorder="1"/>
    <xf numFmtId="0" fontId="5" fillId="0" borderId="10" xfId="0" applyFont="1" applyBorder="1"/>
    <xf numFmtId="176" fontId="5" fillId="2" borderId="10" xfId="1" applyNumberFormat="1" applyFont="1" applyFill="1" applyBorder="1" applyAlignment="1" applyProtection="1">
      <alignment shrinkToFit="1"/>
      <protection locked="0"/>
    </xf>
    <xf numFmtId="0" fontId="5" fillId="0" borderId="0" xfId="0" applyFont="1"/>
    <xf numFmtId="0" fontId="5" fillId="0" borderId="24" xfId="0" applyFont="1" applyBorder="1"/>
    <xf numFmtId="178" fontId="5" fillId="2" borderId="11" xfId="0" applyNumberFormat="1" applyFont="1" applyFill="1" applyBorder="1" applyProtection="1">
      <protection locked="0"/>
    </xf>
    <xf numFmtId="0" fontId="5" fillId="0" borderId="35" xfId="0" applyFont="1" applyBorder="1"/>
    <xf numFmtId="0" fontId="5" fillId="0" borderId="22" xfId="0" applyFont="1" applyBorder="1"/>
    <xf numFmtId="176" fontId="5" fillId="3" borderId="22" xfId="1" applyNumberFormat="1" applyFont="1" applyFill="1" applyBorder="1"/>
    <xf numFmtId="0" fontId="5" fillId="0" borderId="36" xfId="0" applyFont="1" applyBorder="1"/>
    <xf numFmtId="0" fontId="5" fillId="0" borderId="31" xfId="0" applyFont="1" applyBorder="1"/>
    <xf numFmtId="176" fontId="16" fillId="3" borderId="30" xfId="0" applyNumberFormat="1" applyFont="1" applyFill="1" applyBorder="1" applyAlignment="1">
      <alignment shrinkToFit="1"/>
    </xf>
    <xf numFmtId="0" fontId="16" fillId="0" borderId="0" xfId="0" applyFont="1"/>
    <xf numFmtId="177" fontId="5" fillId="0" borderId="0" xfId="0" applyNumberFormat="1" applyFont="1" applyAlignment="1">
      <alignment horizontal="center"/>
    </xf>
    <xf numFmtId="0" fontId="11" fillId="0" borderId="0" xfId="0" applyFont="1"/>
    <xf numFmtId="0" fontId="11" fillId="0" borderId="0" xfId="0" applyFont="1" applyAlignment="1">
      <alignment vertical="top"/>
    </xf>
    <xf numFmtId="0" fontId="5" fillId="0" borderId="5" xfId="0" applyFont="1" applyBorder="1"/>
    <xf numFmtId="4" fontId="5" fillId="2" borderId="10" xfId="0" applyNumberFormat="1" applyFont="1" applyFill="1" applyBorder="1" applyAlignment="1" applyProtection="1">
      <alignment shrinkToFit="1"/>
      <protection locked="0"/>
    </xf>
    <xf numFmtId="0" fontId="5" fillId="0" borderId="6" xfId="0" applyFont="1" applyBorder="1"/>
    <xf numFmtId="0" fontId="5" fillId="2" borderId="12" xfId="0" applyFont="1" applyFill="1" applyBorder="1" applyAlignment="1" applyProtection="1">
      <alignment horizontal="right"/>
      <protection locked="0"/>
    </xf>
    <xf numFmtId="4" fontId="5" fillId="2" borderId="12" xfId="0" applyNumberFormat="1" applyFont="1" applyFill="1" applyBorder="1" applyAlignment="1" applyProtection="1">
      <alignment shrinkToFit="1"/>
      <protection locked="0"/>
    </xf>
    <xf numFmtId="176" fontId="5" fillId="3" borderId="22" xfId="1" applyNumberFormat="1" applyFont="1" applyFill="1" applyBorder="1" applyAlignment="1">
      <alignment shrinkToFit="1"/>
    </xf>
    <xf numFmtId="0" fontId="13" fillId="0" borderId="0" xfId="0" applyFont="1" applyAlignment="1">
      <alignment vertical="top" wrapText="1"/>
    </xf>
    <xf numFmtId="0" fontId="17" fillId="0" borderId="0" xfId="0" applyFont="1"/>
    <xf numFmtId="176" fontId="18" fillId="0" borderId="0" xfId="0" applyNumberFormat="1" applyFont="1" applyAlignment="1">
      <alignment shrinkToFit="1"/>
    </xf>
    <xf numFmtId="1" fontId="18" fillId="0" borderId="0" xfId="0" applyNumberFormat="1" applyFont="1" applyAlignment="1">
      <alignment shrinkToFit="1"/>
    </xf>
    <xf numFmtId="0" fontId="18" fillId="0" borderId="0" xfId="0" applyFont="1"/>
    <xf numFmtId="0" fontId="10" fillId="0" borderId="24" xfId="0" applyFont="1" applyBorder="1"/>
    <xf numFmtId="0" fontId="10" fillId="0" borderId="7" xfId="0" applyFont="1" applyBorder="1" applyAlignment="1">
      <alignment vertical="top" shrinkToFit="1"/>
    </xf>
    <xf numFmtId="0" fontId="19" fillId="0" borderId="0" xfId="0" applyFont="1"/>
    <xf numFmtId="0" fontId="0" fillId="3" borderId="0" xfId="0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shrinkToFi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14" fillId="2" borderId="1" xfId="0" applyFont="1" applyFill="1" applyBorder="1" applyAlignment="1">
      <alignment horizontal="center"/>
    </xf>
    <xf numFmtId="0" fontId="22" fillId="2" borderId="16" xfId="0" applyFont="1" applyFill="1" applyBorder="1" applyAlignment="1" applyProtection="1">
      <alignment shrinkToFit="1"/>
      <protection locked="0"/>
    </xf>
    <xf numFmtId="0" fontId="23" fillId="2" borderId="17" xfId="0" applyFont="1" applyFill="1" applyBorder="1" applyAlignment="1" applyProtection="1">
      <alignment shrinkToFit="1"/>
      <protection locked="0"/>
    </xf>
    <xf numFmtId="0" fontId="23" fillId="2" borderId="18" xfId="0" applyFont="1" applyFill="1" applyBorder="1" applyAlignment="1" applyProtection="1">
      <alignment shrinkToFit="1"/>
      <protection locked="0"/>
    </xf>
    <xf numFmtId="0" fontId="23" fillId="2" borderId="19" xfId="0" applyFont="1" applyFill="1" applyBorder="1" applyAlignment="1" applyProtection="1">
      <alignment shrinkToFit="1"/>
      <protection locked="0"/>
    </xf>
    <xf numFmtId="0" fontId="23" fillId="2" borderId="20" xfId="0" applyFont="1" applyFill="1" applyBorder="1" applyAlignment="1" applyProtection="1">
      <alignment shrinkToFit="1"/>
      <protection locked="0"/>
    </xf>
    <xf numFmtId="0" fontId="23" fillId="2" borderId="21" xfId="0" applyFont="1" applyFill="1" applyBorder="1" applyAlignment="1" applyProtection="1">
      <alignment shrinkToFit="1"/>
      <protection locked="0"/>
    </xf>
    <xf numFmtId="0" fontId="5" fillId="2" borderId="5" xfId="0" applyFont="1" applyFill="1" applyBorder="1" applyAlignment="1" applyProtection="1">
      <alignment horizontal="left" vertical="top" wrapText="1"/>
      <protection locked="0"/>
    </xf>
    <xf numFmtId="0" fontId="5" fillId="2" borderId="27" xfId="0" applyFont="1" applyFill="1" applyBorder="1" applyAlignment="1" applyProtection="1">
      <alignment horizontal="left" vertical="top" wrapText="1"/>
      <protection locked="0"/>
    </xf>
    <xf numFmtId="0" fontId="5" fillId="2" borderId="28" xfId="0" applyFont="1" applyFill="1" applyBorder="1" applyAlignment="1" applyProtection="1">
      <alignment horizontal="left" vertical="top" wrapText="1"/>
      <protection locked="0"/>
    </xf>
    <xf numFmtId="0" fontId="5" fillId="2" borderId="6" xfId="0" applyFont="1" applyFill="1" applyBorder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0" fontId="5" fillId="2" borderId="29" xfId="0" applyFont="1" applyFill="1" applyBorder="1" applyAlignment="1" applyProtection="1">
      <alignment horizontal="left" vertical="top" wrapText="1"/>
      <protection locked="0"/>
    </xf>
    <xf numFmtId="0" fontId="5" fillId="2" borderId="7" xfId="0" applyFont="1" applyFill="1" applyBorder="1" applyAlignment="1" applyProtection="1">
      <alignment horizontal="left" vertical="top" wrapText="1"/>
      <protection locked="0"/>
    </xf>
    <xf numFmtId="0" fontId="5" fillId="2" borderId="8" xfId="0" applyFont="1" applyFill="1" applyBorder="1" applyAlignment="1" applyProtection="1">
      <alignment horizontal="left" vertical="top" wrapText="1"/>
      <protection locked="0"/>
    </xf>
    <xf numFmtId="0" fontId="5" fillId="2" borderId="25" xfId="0" applyFont="1" applyFill="1" applyBorder="1" applyAlignment="1" applyProtection="1">
      <alignment horizontal="left" vertical="top" wrapText="1"/>
      <protection locked="0"/>
    </xf>
    <xf numFmtId="177" fontId="0" fillId="2" borderId="2" xfId="0" applyNumberFormat="1" applyFill="1" applyBorder="1" applyAlignment="1" applyProtection="1">
      <alignment horizontal="center" shrinkToFit="1"/>
      <protection locked="0"/>
    </xf>
    <xf numFmtId="177" fontId="0" fillId="2" borderId="3" xfId="0" applyNumberFormat="1" applyFill="1" applyBorder="1" applyAlignment="1" applyProtection="1">
      <alignment horizontal="center" shrinkToFit="1"/>
      <protection locked="0"/>
    </xf>
    <xf numFmtId="177" fontId="0" fillId="2" borderId="4" xfId="0" applyNumberFormat="1" applyFill="1" applyBorder="1" applyAlignment="1" applyProtection="1">
      <alignment horizontal="center" shrinkToFit="1"/>
      <protection locked="0"/>
    </xf>
    <xf numFmtId="0" fontId="0" fillId="2" borderId="8" xfId="0" applyFill="1" applyBorder="1" applyAlignment="1" applyProtection="1">
      <alignment horizontal="center" shrinkToFit="1"/>
      <protection locked="0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177" fontId="0" fillId="2" borderId="2" xfId="0" quotePrefix="1" applyNumberFormat="1" applyFill="1" applyBorder="1" applyAlignment="1" applyProtection="1">
      <alignment horizontal="center" shrinkToFit="1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2" borderId="3" xfId="0" applyFill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  <protection locked="0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21" fillId="0" borderId="27" xfId="0" applyFont="1" applyBorder="1" applyAlignment="1">
      <alignment vertical="center" wrapText="1"/>
    </xf>
    <xf numFmtId="0" fontId="21" fillId="0" borderId="0" xfId="0" applyFont="1" applyAlignment="1">
      <alignment vertical="center" wrapText="1"/>
    </xf>
  </cellXfs>
  <cellStyles count="3">
    <cellStyle name="Comma [0]" xfId="1" builtinId="6"/>
    <cellStyle name="Normal" xfId="0" builtinId="0"/>
    <cellStyle name="標準 2" xfId="2" xr:uid="{4C5B2B91-0D49-44BF-9336-FF2D91FEE9BA}"/>
  </cellStyles>
  <dxfs count="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numFmt numFmtId="5" formatCode="#,##0;\-#,##0"/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1943099</xdr:colOff>
      <xdr:row>2</xdr:row>
      <xdr:rowOff>19049</xdr:rowOff>
    </xdr:from>
    <xdr:to>
      <xdr:col>22</xdr:col>
      <xdr:colOff>509</xdr:colOff>
      <xdr:row>26</xdr:row>
      <xdr:rowOff>238124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88CA1C3-AA99-36A8-BE1E-3CFBF513E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6349" y="504824"/>
          <a:ext cx="7991985" cy="595312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6</xdr:col>
      <xdr:colOff>133349</xdr:colOff>
      <xdr:row>15</xdr:row>
      <xdr:rowOff>180975</xdr:rowOff>
    </xdr:from>
    <xdr:to>
      <xdr:col>11</xdr:col>
      <xdr:colOff>57149</xdr:colOff>
      <xdr:row>21</xdr:row>
      <xdr:rowOff>38100</xdr:rowOff>
    </xdr:to>
    <xdr:sp macro="" textlink="H16">
      <xdr:nvSpPr>
        <xdr:cNvPr id="4" name="テキスト ボックス 3">
          <a:extLst>
            <a:ext uri="{FF2B5EF4-FFF2-40B4-BE49-F238E27FC236}">
              <a16:creationId xmlns:a16="http://schemas.microsoft.com/office/drawing/2014/main" id="{3ECB82AF-EE2E-7358-5871-A9EDA7B2B2F7}"/>
            </a:ext>
          </a:extLst>
        </xdr:cNvPr>
        <xdr:cNvSpPr txBox="1"/>
      </xdr:nvSpPr>
      <xdr:spPr>
        <a:xfrm>
          <a:off x="6534149" y="3781425"/>
          <a:ext cx="3857625" cy="12858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EC0FAC87-3273-410F-9F88-38EBE3B2A488}" type="TxLink">
            <a:rPr kumimoji="1" lang="en-US" altLang="en-US" sz="1200" b="1" i="0" u="none" strike="noStrike">
              <a:ln>
                <a:noFill/>
              </a:ln>
              <a:solidFill>
                <a:srgbClr val="0000FF"/>
              </a:solidFill>
              <a:latin typeface="BIZ UDP明朝 Medium"/>
              <a:ea typeface="BIZ UDP明朝 Medium"/>
            </a:rPr>
            <a:pPr/>
            <a:t> </a:t>
          </a:fld>
          <a:endParaRPr kumimoji="1" lang="ja-JP" altLang="en-US" sz="1100">
            <a:ln>
              <a:noFill/>
            </a:ln>
          </a:endParaRP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11</xdr:col>
      <xdr:colOff>591483</xdr:colOff>
      <xdr:row>31</xdr:row>
      <xdr:rowOff>162692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E3FCDD1-BBF3-4D0D-B1DB-38AFF64A9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6687483" cy="549669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12</xdr:col>
      <xdr:colOff>29515</xdr:colOff>
      <xdr:row>60</xdr:row>
      <xdr:rowOff>57876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8E64BCE-691E-47AC-8F06-BA351A175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6286500"/>
          <a:ext cx="6735115" cy="52013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A4B39-2660-4844-B4A2-7FB5C8A32B81}">
  <sheetPr>
    <tabColor rgb="FFFFFF00"/>
    <pageSetUpPr fitToPage="1"/>
  </sheetPr>
  <dimension ref="A1:P60"/>
  <sheetViews>
    <sheetView showGridLines="0" tabSelected="1" workbookViewId="0">
      <selection activeCell="E27" sqref="E27"/>
    </sheetView>
  </sheetViews>
  <sheetFormatPr defaultRowHeight="18.75" x14ac:dyDescent="0.4"/>
  <cols>
    <col min="1" max="1" width="3.875" customWidth="1"/>
    <col min="2" max="2" width="4.875" customWidth="1"/>
    <col min="3" max="3" width="28" customWidth="1"/>
    <col min="4" max="5" width="22.5" customWidth="1"/>
    <col min="6" max="6" width="2.25" style="74" customWidth="1"/>
    <col min="7" max="7" width="2.25" customWidth="1"/>
    <col min="8" max="8" width="18.125" customWidth="1"/>
    <col min="9" max="9" width="11.875" customWidth="1"/>
    <col min="10" max="10" width="4.75" customWidth="1"/>
    <col min="11" max="11" width="14.625" customWidth="1"/>
    <col min="12" max="12" width="5.625" customWidth="1"/>
    <col min="13" max="13" width="25.875" customWidth="1"/>
    <col min="14" max="14" width="23" customWidth="1"/>
    <col min="15" max="16" width="13.75" customWidth="1"/>
  </cols>
  <sheetData>
    <row r="1" spans="1:14" x14ac:dyDescent="0.4">
      <c r="A1" s="32"/>
    </row>
    <row r="2" spans="1:14" ht="19.5" x14ac:dyDescent="0.4">
      <c r="B2" s="10" t="s">
        <v>3</v>
      </c>
      <c r="H2" s="1" t="s">
        <v>14</v>
      </c>
      <c r="I2" s="99"/>
      <c r="J2" s="99"/>
      <c r="K2" s="99"/>
      <c r="L2" s="19"/>
      <c r="N2" s="18" t="s">
        <v>48</v>
      </c>
    </row>
    <row r="3" spans="1:14" x14ac:dyDescent="0.4">
      <c r="B3" s="24" t="s">
        <v>51</v>
      </c>
      <c r="C3" s="24"/>
      <c r="D3" s="25"/>
      <c r="I3" s="19" t="str">
        <f>IF($I$2="","Y-MAP決裁管理番号を入力して下さい。","")</f>
        <v>Y-MAP決裁管理番号を入力して下さい。</v>
      </c>
    </row>
    <row r="5" spans="1:14" x14ac:dyDescent="0.4">
      <c r="B5" t="s">
        <v>15</v>
      </c>
      <c r="E5" s="34" t="str">
        <f>IF(D57=0,"・参加者情報を入力して下さい。","")</f>
        <v>・参加者情報を入力して下さい。</v>
      </c>
      <c r="H5" t="s">
        <v>16</v>
      </c>
    </row>
    <row r="6" spans="1:14" x14ac:dyDescent="0.4">
      <c r="B6" s="2"/>
      <c r="C6" s="7" t="s">
        <v>0</v>
      </c>
      <c r="D6" s="8" t="s">
        <v>2</v>
      </c>
      <c r="E6" s="9" t="s">
        <v>1</v>
      </c>
      <c r="F6" s="75"/>
      <c r="H6" s="33" t="s">
        <v>4</v>
      </c>
      <c r="I6" s="96"/>
      <c r="J6" s="97"/>
      <c r="K6" s="98"/>
      <c r="L6" s="19" t="str">
        <f>IF($I$6=0,"実施年月日を入力して下さい。","")</f>
        <v>実施年月日を入力して下さい。</v>
      </c>
    </row>
    <row r="7" spans="1:14" x14ac:dyDescent="0.4">
      <c r="B7" s="6">
        <f>ROW()-6</f>
        <v>1</v>
      </c>
      <c r="C7" s="81"/>
      <c r="D7" s="82"/>
      <c r="E7" s="83"/>
      <c r="F7" s="76"/>
      <c r="I7" s="11"/>
      <c r="J7" s="11"/>
      <c r="K7" s="11"/>
    </row>
    <row r="8" spans="1:14" x14ac:dyDescent="0.4">
      <c r="B8" s="6">
        <f t="shared" ref="B8:B56" si="0">ROW()-6</f>
        <v>2</v>
      </c>
      <c r="C8" s="84"/>
      <c r="D8" s="85"/>
      <c r="E8" s="86"/>
      <c r="F8" s="76"/>
      <c r="H8" s="33" t="s">
        <v>17</v>
      </c>
      <c r="I8" s="102"/>
      <c r="J8" s="97"/>
      <c r="K8" s="98"/>
      <c r="L8" s="19" t="str">
        <f>IF($I$8="","使用店名を入力して下さい。","")</f>
        <v>使用店名を入力して下さい。</v>
      </c>
    </row>
    <row r="9" spans="1:14" x14ac:dyDescent="0.4">
      <c r="B9" s="6">
        <f t="shared" si="0"/>
        <v>3</v>
      </c>
      <c r="C9" s="84"/>
      <c r="D9" s="85"/>
      <c r="E9" s="86"/>
      <c r="F9" s="76"/>
    </row>
    <row r="10" spans="1:14" x14ac:dyDescent="0.4">
      <c r="B10" s="6">
        <f t="shared" si="0"/>
        <v>4</v>
      </c>
      <c r="C10" s="84"/>
      <c r="D10" s="85"/>
      <c r="E10" s="86"/>
      <c r="F10" s="76"/>
      <c r="H10" s="33" t="s">
        <v>40</v>
      </c>
      <c r="I10" s="103"/>
      <c r="J10" s="104"/>
      <c r="K10" s="105"/>
      <c r="L10" s="19" t="str">
        <f>IF($I$10="","取引を選択して下さい。","")</f>
        <v>取引を選択して下さい。</v>
      </c>
    </row>
    <row r="11" spans="1:14" x14ac:dyDescent="0.4">
      <c r="B11" s="6">
        <f t="shared" si="0"/>
        <v>5</v>
      </c>
      <c r="C11" s="84"/>
      <c r="D11" s="85"/>
      <c r="E11" s="86"/>
      <c r="F11" s="76"/>
      <c r="H11" s="42"/>
    </row>
    <row r="12" spans="1:14" ht="19.5" thickBot="1" x14ac:dyDescent="0.45">
      <c r="B12" s="6">
        <f t="shared" si="0"/>
        <v>6</v>
      </c>
      <c r="C12" s="84"/>
      <c r="D12" s="85"/>
      <c r="E12" s="15"/>
      <c r="F12" s="76"/>
      <c r="H12" s="106" t="s">
        <v>45</v>
      </c>
      <c r="I12" s="107"/>
      <c r="J12" s="108"/>
      <c r="K12" s="38"/>
      <c r="L12" s="19" t="str">
        <f>IF($K$12="","選択して下さい。","")</f>
        <v>選択して下さい。</v>
      </c>
    </row>
    <row r="13" spans="1:14" ht="19.5" thickTop="1" x14ac:dyDescent="0.4">
      <c r="B13" s="6">
        <f t="shared" si="0"/>
        <v>7</v>
      </c>
      <c r="C13" s="84"/>
      <c r="D13" s="14"/>
      <c r="E13" s="86"/>
      <c r="F13" s="76"/>
      <c r="H13" s="35"/>
      <c r="I13" s="35" t="s">
        <v>43</v>
      </c>
      <c r="J13" s="36" t="s">
        <v>46</v>
      </c>
      <c r="K13" s="36" t="s">
        <v>44</v>
      </c>
      <c r="L13" s="19" t="str">
        <f>IF($I$10="外貨取引",IF(K12="YES",IF(OR(J14="JPY",""),"通貨を正しく入力して下さい。",""),""),IF(K12="YES",IF(OR(J14="JPY",""),"","通貨を正しく入力して下さい。"),""))</f>
        <v/>
      </c>
    </row>
    <row r="14" spans="1:14" x14ac:dyDescent="0.4">
      <c r="B14" s="6">
        <f t="shared" si="0"/>
        <v>8</v>
      </c>
      <c r="C14" s="13"/>
      <c r="D14" s="14"/>
      <c r="E14" s="86"/>
      <c r="F14" s="76"/>
      <c r="H14" s="37" t="s">
        <v>41</v>
      </c>
      <c r="I14" s="41"/>
      <c r="J14" s="40" t="s">
        <v>47</v>
      </c>
      <c r="K14" s="39">
        <v>0</v>
      </c>
      <c r="L14" s="19" t="str">
        <f>IF($K$12="YES",IF(OR(I14="",K14=0),"折半情報を入力して下さい。",""),"")</f>
        <v/>
      </c>
    </row>
    <row r="15" spans="1:14" x14ac:dyDescent="0.4">
      <c r="B15" s="6">
        <f t="shared" si="0"/>
        <v>9</v>
      </c>
      <c r="C15" s="13"/>
      <c r="D15" s="14"/>
      <c r="E15" s="15"/>
      <c r="F15" s="76"/>
      <c r="H15" s="37" t="s">
        <v>42</v>
      </c>
      <c r="I15" s="41"/>
      <c r="J15" s="80" t="str">
        <f>J14</f>
        <v>JPY</v>
      </c>
      <c r="K15" s="39">
        <v>0</v>
      </c>
      <c r="L15" s="42">
        <f>IF(J14="JPY",SUM(K14:K15),0)</f>
        <v>0</v>
      </c>
    </row>
    <row r="16" spans="1:14" ht="18.75" customHeight="1" x14ac:dyDescent="0.4">
      <c r="B16" s="6">
        <f t="shared" si="0"/>
        <v>10</v>
      </c>
      <c r="C16" s="13"/>
      <c r="D16" s="14"/>
      <c r="E16" s="15"/>
      <c r="F16" s="76"/>
      <c r="H16" s="109" t="str">
        <f>IF(K12="YES","（注）費用を折半した際は、総支払額にて経費勘定を判定する必要があります。上記に折半情報を入力し、折半先の領収書等総額のわかる資料をご提出下さい。資料の提出ができない場合は、別途「入手不能理由書」をご提出下さい。","")</f>
        <v/>
      </c>
      <c r="I16" s="109"/>
      <c r="J16" s="109"/>
      <c r="K16" s="109"/>
      <c r="L16" s="66"/>
    </row>
    <row r="17" spans="2:16" x14ac:dyDescent="0.4">
      <c r="B17" s="6">
        <f t="shared" si="0"/>
        <v>11</v>
      </c>
      <c r="C17" s="13"/>
      <c r="D17" s="14"/>
      <c r="E17" s="15"/>
      <c r="F17" s="76"/>
      <c r="H17" s="110"/>
      <c r="I17" s="110"/>
      <c r="J17" s="110"/>
      <c r="K17" s="110"/>
      <c r="L17" s="66"/>
    </row>
    <row r="18" spans="2:16" x14ac:dyDescent="0.4">
      <c r="B18" s="6">
        <f t="shared" si="0"/>
        <v>12</v>
      </c>
      <c r="C18" s="13"/>
      <c r="D18" s="14"/>
      <c r="E18" s="15"/>
      <c r="F18" s="76"/>
      <c r="H18" s="110"/>
      <c r="I18" s="110"/>
      <c r="J18" s="110"/>
      <c r="K18" s="110"/>
      <c r="L18" s="66"/>
    </row>
    <row r="19" spans="2:16" x14ac:dyDescent="0.4">
      <c r="B19" s="6">
        <f t="shared" si="0"/>
        <v>13</v>
      </c>
      <c r="C19" s="13"/>
      <c r="D19" s="14"/>
      <c r="E19" s="15"/>
      <c r="F19" s="76"/>
      <c r="H19" s="110"/>
      <c r="I19" s="110"/>
      <c r="J19" s="110"/>
      <c r="K19" s="110"/>
      <c r="L19" s="66"/>
    </row>
    <row r="20" spans="2:16" x14ac:dyDescent="0.4">
      <c r="B20" s="6">
        <f t="shared" si="0"/>
        <v>14</v>
      </c>
      <c r="C20" s="13"/>
      <c r="D20" s="14"/>
      <c r="E20" s="15"/>
      <c r="F20" s="76"/>
      <c r="H20" s="110"/>
      <c r="I20" s="110"/>
      <c r="J20" s="110"/>
      <c r="K20" s="110"/>
      <c r="L20" s="66"/>
    </row>
    <row r="21" spans="2:16" x14ac:dyDescent="0.4">
      <c r="B21" s="6">
        <f t="shared" si="0"/>
        <v>15</v>
      </c>
      <c r="C21" s="13"/>
      <c r="D21" s="14"/>
      <c r="E21" s="15"/>
      <c r="F21" s="76"/>
      <c r="H21" s="66"/>
      <c r="I21" s="66"/>
      <c r="J21" s="66"/>
      <c r="K21" s="66"/>
      <c r="L21" s="66"/>
    </row>
    <row r="22" spans="2:16" x14ac:dyDescent="0.4">
      <c r="B22" s="6">
        <f t="shared" si="0"/>
        <v>16</v>
      </c>
      <c r="C22" s="13"/>
      <c r="D22" s="14"/>
      <c r="E22" s="15"/>
      <c r="F22" s="76"/>
      <c r="H22" s="18" t="s">
        <v>28</v>
      </c>
      <c r="K22" s="11"/>
    </row>
    <row r="23" spans="2:16" x14ac:dyDescent="0.4">
      <c r="B23" s="6">
        <f t="shared" si="0"/>
        <v>17</v>
      </c>
      <c r="C23" s="13"/>
      <c r="D23" s="14"/>
      <c r="E23" s="15"/>
      <c r="F23" s="76"/>
      <c r="H23" s="43" t="s">
        <v>12</v>
      </c>
      <c r="I23" s="44" t="s">
        <v>8</v>
      </c>
      <c r="J23" s="45"/>
      <c r="K23" s="46">
        <v>0</v>
      </c>
      <c r="L23" s="67" t="str">
        <f>IF(AND($I$10="適格事業者取引",K23=0),"金額を入力して下さい。","")</f>
        <v/>
      </c>
      <c r="M23" s="47"/>
    </row>
    <row r="24" spans="2:16" x14ac:dyDescent="0.4">
      <c r="B24" s="6">
        <f t="shared" si="0"/>
        <v>18</v>
      </c>
      <c r="C24" s="13"/>
      <c r="D24" s="14"/>
      <c r="E24" s="15"/>
      <c r="F24" s="76"/>
      <c r="H24" s="48"/>
      <c r="I24" s="23" t="s">
        <v>24</v>
      </c>
      <c r="J24" s="21"/>
      <c r="K24" s="49">
        <v>10</v>
      </c>
      <c r="L24" s="47"/>
      <c r="M24" s="47"/>
    </row>
    <row r="25" spans="2:16" x14ac:dyDescent="0.4">
      <c r="B25" s="6">
        <f t="shared" si="0"/>
        <v>19</v>
      </c>
      <c r="C25" s="13"/>
      <c r="D25" s="14"/>
      <c r="E25" s="15"/>
      <c r="F25" s="76"/>
      <c r="H25" s="48"/>
      <c r="I25" s="22" t="s">
        <v>7</v>
      </c>
      <c r="J25" s="20"/>
      <c r="K25" s="16">
        <f>K23-K26</f>
        <v>0</v>
      </c>
      <c r="L25" s="68">
        <f>IF(I10="適格事業者取引",L15-L26,0)</f>
        <v>0</v>
      </c>
      <c r="M25" s="47"/>
    </row>
    <row r="26" spans="2:16" x14ac:dyDescent="0.4">
      <c r="B26" s="6">
        <f t="shared" si="0"/>
        <v>20</v>
      </c>
      <c r="C26" s="13"/>
      <c r="D26" s="14"/>
      <c r="E26" s="15"/>
      <c r="F26" s="76"/>
      <c r="H26" s="48"/>
      <c r="I26" s="23" t="s">
        <v>23</v>
      </c>
      <c r="J26" s="21"/>
      <c r="K26" s="17">
        <f>IF(K24=8,K23/13.5-1,IF(K24=10,K23/11,))</f>
        <v>0</v>
      </c>
      <c r="L26" s="69">
        <f>IF(I10="適格事業者取引",IF(K24=8,L15/13.5-1,IF(K24=10,L15/11,)),0)</f>
        <v>0</v>
      </c>
      <c r="M26" s="47"/>
    </row>
    <row r="27" spans="2:16" ht="19.5" thickBot="1" x14ac:dyDescent="0.45">
      <c r="B27" s="6">
        <f t="shared" si="0"/>
        <v>21</v>
      </c>
      <c r="C27" s="13"/>
      <c r="D27" s="14"/>
      <c r="E27" s="15"/>
      <c r="F27" s="76"/>
      <c r="H27" s="71" t="str">
        <f>IF(K28&gt;10000,"66160010",IF(K28=0,"","66150010"))</f>
        <v/>
      </c>
      <c r="I27" s="50"/>
      <c r="J27" s="51"/>
      <c r="K27" s="52"/>
      <c r="L27" s="70"/>
      <c r="M27" s="47"/>
    </row>
    <row r="28" spans="2:16" ht="19.5" thickBot="1" x14ac:dyDescent="0.45">
      <c r="B28" s="6">
        <f t="shared" si="0"/>
        <v>22</v>
      </c>
      <c r="C28" s="13"/>
      <c r="D28" s="14"/>
      <c r="E28" s="15"/>
      <c r="F28" s="76"/>
      <c r="H28" s="72" t="str">
        <f>IF(H27="66150010","交際費(社外飲食費1万円以下)",IF(H27="","","交際費(社外飲食費1万円超)"))</f>
        <v/>
      </c>
      <c r="I28" s="53" t="s">
        <v>52</v>
      </c>
      <c r="J28" s="54"/>
      <c r="K28" s="55">
        <f>IFERROR((K25+L25)/D57,0)</f>
        <v>0</v>
      </c>
      <c r="L28" s="47"/>
      <c r="M28" s="47"/>
    </row>
    <row r="29" spans="2:16" x14ac:dyDescent="0.4">
      <c r="B29" s="6">
        <f t="shared" si="0"/>
        <v>23</v>
      </c>
      <c r="C29" s="13"/>
      <c r="D29" s="14"/>
      <c r="E29" s="15"/>
      <c r="F29" s="76"/>
      <c r="H29" s="47"/>
      <c r="I29" s="47"/>
      <c r="J29" s="47"/>
      <c r="K29" s="47"/>
      <c r="L29" s="47"/>
      <c r="M29" s="47"/>
    </row>
    <row r="30" spans="2:16" x14ac:dyDescent="0.4">
      <c r="B30" s="6">
        <f t="shared" si="0"/>
        <v>24</v>
      </c>
      <c r="C30" s="13"/>
      <c r="D30" s="14"/>
      <c r="E30" s="15"/>
      <c r="F30" s="76"/>
      <c r="H30" s="47"/>
      <c r="I30" s="47"/>
      <c r="J30" s="47"/>
      <c r="K30" s="47"/>
      <c r="L30" s="47"/>
      <c r="M30" s="47"/>
    </row>
    <row r="31" spans="2:16" x14ac:dyDescent="0.4">
      <c r="B31" s="6">
        <f t="shared" si="0"/>
        <v>25</v>
      </c>
      <c r="C31" s="13"/>
      <c r="D31" s="14"/>
      <c r="E31" s="15"/>
      <c r="F31" s="76"/>
      <c r="H31" s="56" t="s">
        <v>29</v>
      </c>
      <c r="I31" s="47"/>
      <c r="J31" s="47"/>
      <c r="K31" s="57"/>
      <c r="L31" s="47"/>
      <c r="M31" s="47"/>
    </row>
    <row r="32" spans="2:16" x14ac:dyDescent="0.4">
      <c r="B32" s="6">
        <f t="shared" si="0"/>
        <v>26</v>
      </c>
      <c r="C32" s="13"/>
      <c r="D32" s="14"/>
      <c r="E32" s="15"/>
      <c r="F32" s="76"/>
      <c r="H32" s="43" t="s">
        <v>12</v>
      </c>
      <c r="I32" s="44" t="s">
        <v>8</v>
      </c>
      <c r="J32" s="45"/>
      <c r="K32" s="46">
        <v>0</v>
      </c>
      <c r="L32" s="67" t="str">
        <f>IF(AND($I$10="免税事業者取引",K32=0),"金額を入力して下さい。","")</f>
        <v/>
      </c>
      <c r="M32" s="47"/>
      <c r="O32" s="100" t="s">
        <v>38</v>
      </c>
      <c r="P32" s="100" t="s">
        <v>39</v>
      </c>
    </row>
    <row r="33" spans="2:16" x14ac:dyDescent="0.4">
      <c r="B33" s="6">
        <f t="shared" si="0"/>
        <v>27</v>
      </c>
      <c r="C33" s="13"/>
      <c r="D33" s="14"/>
      <c r="E33" s="15"/>
      <c r="F33" s="76"/>
      <c r="H33" s="48"/>
      <c r="I33" s="23" t="s">
        <v>24</v>
      </c>
      <c r="J33" s="21"/>
      <c r="K33" s="49">
        <v>10</v>
      </c>
      <c r="L33" s="47"/>
      <c r="M33" s="47"/>
      <c r="N33" s="3" t="s">
        <v>33</v>
      </c>
      <c r="O33" s="101"/>
      <c r="P33" s="101"/>
    </row>
    <row r="34" spans="2:16" x14ac:dyDescent="0.4">
      <c r="B34" s="6">
        <f t="shared" si="0"/>
        <v>28</v>
      </c>
      <c r="C34" s="13"/>
      <c r="D34" s="14"/>
      <c r="E34" s="15"/>
      <c r="F34" s="76"/>
      <c r="H34" s="48"/>
      <c r="I34" s="22" t="s">
        <v>7</v>
      </c>
      <c r="J34" s="20"/>
      <c r="K34" s="16">
        <f>K32-K35</f>
        <v>0</v>
      </c>
      <c r="L34" s="68">
        <f>IF(I10="免税事業者取引",L15-L35,0)</f>
        <v>0</v>
      </c>
      <c r="M34" s="47"/>
      <c r="N34" s="2" t="s">
        <v>32</v>
      </c>
      <c r="O34" s="27">
        <v>0.8</v>
      </c>
      <c r="P34" s="27">
        <v>0.2</v>
      </c>
    </row>
    <row r="35" spans="2:16" x14ac:dyDescent="0.4">
      <c r="B35" s="6">
        <f t="shared" si="0"/>
        <v>29</v>
      </c>
      <c r="C35" s="13"/>
      <c r="D35" s="14"/>
      <c r="E35" s="15"/>
      <c r="F35" s="76"/>
      <c r="H35" s="48"/>
      <c r="I35" s="23" t="s">
        <v>23</v>
      </c>
      <c r="J35" s="21"/>
      <c r="K35" s="17">
        <f>IF(K33=8,K32/13.5-1,IF(K33=10,K32/11,))</f>
        <v>0</v>
      </c>
      <c r="L35" s="69">
        <f>IF(I10="免税事業者取引",IF(K33=8,L15/13.5-1,IF(K33=10,L15/11,)),0)</f>
        <v>0</v>
      </c>
      <c r="M35" s="47"/>
      <c r="N35" s="2" t="s">
        <v>34</v>
      </c>
      <c r="O35" s="27">
        <v>0.5</v>
      </c>
      <c r="P35" s="27">
        <v>0.5</v>
      </c>
    </row>
    <row r="36" spans="2:16" ht="19.5" thickBot="1" x14ac:dyDescent="0.45">
      <c r="B36" s="6">
        <f t="shared" si="0"/>
        <v>30</v>
      </c>
      <c r="C36" s="13"/>
      <c r="D36" s="14"/>
      <c r="E36" s="15"/>
      <c r="F36" s="76"/>
      <c r="H36" s="71" t="str">
        <f>IF(K37&gt;10000,"66160010",IF(K37=0,"","66150010"))</f>
        <v/>
      </c>
      <c r="I36" s="29" t="s">
        <v>31</v>
      </c>
      <c r="J36" s="30">
        <v>0.2</v>
      </c>
      <c r="K36" s="31">
        <f>K35*J36</f>
        <v>0</v>
      </c>
      <c r="L36" s="69">
        <f>L35*J36</f>
        <v>0</v>
      </c>
      <c r="M36" s="47"/>
      <c r="N36" s="2" t="s">
        <v>35</v>
      </c>
      <c r="O36" s="27">
        <v>0</v>
      </c>
      <c r="P36" s="27">
        <v>1</v>
      </c>
    </row>
    <row r="37" spans="2:16" ht="19.5" thickBot="1" x14ac:dyDescent="0.45">
      <c r="B37" s="6">
        <f t="shared" si="0"/>
        <v>31</v>
      </c>
      <c r="C37" s="13"/>
      <c r="D37" s="14"/>
      <c r="E37" s="15"/>
      <c r="F37" s="76"/>
      <c r="H37" s="72" t="str">
        <f>IF(H36="66150010","交際費(社外飲食費1万円以下)",IF(H36="","","交際費(社外飲食費1万円超)"))</f>
        <v/>
      </c>
      <c r="I37" s="53" t="s">
        <v>52</v>
      </c>
      <c r="J37" s="54"/>
      <c r="K37" s="55">
        <f>IFERROR(((K34+L34)+(K36+L36))/D57,0)</f>
        <v>0</v>
      </c>
      <c r="L37" s="70"/>
      <c r="M37" s="47"/>
      <c r="N37" s="28" t="s">
        <v>36</v>
      </c>
      <c r="P37" s="26"/>
    </row>
    <row r="38" spans="2:16" x14ac:dyDescent="0.4">
      <c r="B38" s="6">
        <f t="shared" si="0"/>
        <v>32</v>
      </c>
      <c r="C38" s="13"/>
      <c r="D38" s="14"/>
      <c r="E38" s="15"/>
      <c r="F38" s="76"/>
      <c r="H38" s="47"/>
      <c r="I38" s="58" t="s">
        <v>30</v>
      </c>
      <c r="J38" s="58"/>
      <c r="K38" s="58"/>
      <c r="L38" s="47"/>
      <c r="M38" s="47"/>
    </row>
    <row r="39" spans="2:16" x14ac:dyDescent="0.4">
      <c r="B39" s="6">
        <f t="shared" si="0"/>
        <v>33</v>
      </c>
      <c r="C39" s="13"/>
      <c r="D39" s="14"/>
      <c r="E39" s="15"/>
      <c r="F39" s="76"/>
      <c r="H39" s="47"/>
      <c r="I39" s="59" t="s">
        <v>37</v>
      </c>
      <c r="J39" s="59"/>
      <c r="K39" s="58"/>
      <c r="L39" s="47"/>
      <c r="M39" s="47"/>
    </row>
    <row r="40" spans="2:16" x14ac:dyDescent="0.4">
      <c r="B40" s="6">
        <f t="shared" si="0"/>
        <v>34</v>
      </c>
      <c r="C40" s="13"/>
      <c r="D40" s="14"/>
      <c r="E40" s="15"/>
      <c r="F40" s="76"/>
      <c r="H40" s="56" t="s">
        <v>27</v>
      </c>
      <c r="I40" s="47"/>
      <c r="J40" s="47"/>
      <c r="K40" s="47"/>
      <c r="L40" s="47"/>
      <c r="M40" s="47"/>
    </row>
    <row r="41" spans="2:16" x14ac:dyDescent="0.4">
      <c r="B41" s="6">
        <f t="shared" si="0"/>
        <v>35</v>
      </c>
      <c r="C41" s="13"/>
      <c r="D41" s="14"/>
      <c r="E41" s="15"/>
      <c r="F41" s="76"/>
      <c r="H41" s="60" t="s">
        <v>9</v>
      </c>
      <c r="I41" s="44" t="s">
        <v>13</v>
      </c>
      <c r="J41" s="45"/>
      <c r="K41" s="61">
        <v>0</v>
      </c>
      <c r="L41" s="67" t="str">
        <f>IF(AND($I$10="外貨取引",K41=0),"金額を入力して下さい。","")</f>
        <v/>
      </c>
      <c r="M41" s="47"/>
    </row>
    <row r="42" spans="2:16" x14ac:dyDescent="0.4">
      <c r="B42" s="6">
        <f t="shared" si="0"/>
        <v>36</v>
      </c>
      <c r="C42" s="13"/>
      <c r="D42" s="14"/>
      <c r="E42" s="15"/>
      <c r="F42" s="76"/>
      <c r="H42" s="62"/>
      <c r="I42" s="23" t="s">
        <v>10</v>
      </c>
      <c r="J42" s="21"/>
      <c r="K42" s="63" t="s">
        <v>26</v>
      </c>
      <c r="L42" s="47"/>
      <c r="M42" s="47"/>
    </row>
    <row r="43" spans="2:16" x14ac:dyDescent="0.4">
      <c r="B43" s="6">
        <f t="shared" si="0"/>
        <v>37</v>
      </c>
      <c r="C43" s="13"/>
      <c r="D43" s="14"/>
      <c r="E43" s="15"/>
      <c r="F43" s="76"/>
      <c r="H43" s="62"/>
      <c r="I43" s="23" t="s">
        <v>11</v>
      </c>
      <c r="J43" s="21"/>
      <c r="K43" s="64">
        <v>0</v>
      </c>
      <c r="L43" s="67" t="str">
        <f>IF(AND($I$10="外貨取引",K43=0),"レートを入力して下さい。","")</f>
        <v/>
      </c>
      <c r="M43" s="47"/>
    </row>
    <row r="44" spans="2:16" ht="19.5" thickBot="1" x14ac:dyDescent="0.45">
      <c r="B44" s="6">
        <f t="shared" si="0"/>
        <v>38</v>
      </c>
      <c r="C44" s="13"/>
      <c r="D44" s="14"/>
      <c r="E44" s="15"/>
      <c r="F44" s="76"/>
      <c r="H44" s="71" t="str">
        <f>IF(K45&gt;10000,"66160010",IF(K45=0,"","66150010"))</f>
        <v/>
      </c>
      <c r="I44" s="50" t="s">
        <v>19</v>
      </c>
      <c r="J44" s="51"/>
      <c r="K44" s="65">
        <f>K41*K43</f>
        <v>0</v>
      </c>
      <c r="L44" s="69">
        <f>IF(J14="JPY",0,IF(J14="",0,SUM(K14:K15)*K43))</f>
        <v>0</v>
      </c>
      <c r="M44" s="47"/>
    </row>
    <row r="45" spans="2:16" ht="19.5" thickBot="1" x14ac:dyDescent="0.45">
      <c r="B45" s="6">
        <f t="shared" si="0"/>
        <v>39</v>
      </c>
      <c r="C45" s="13"/>
      <c r="D45" s="14"/>
      <c r="E45" s="15"/>
      <c r="F45" s="76"/>
      <c r="H45" s="72" t="str">
        <f>IF(H44="66150010","交際費(社外飲食費1万円以下)",IF(H44="","","交際費(社外飲食費1万円超)"))</f>
        <v/>
      </c>
      <c r="I45" s="53" t="s">
        <v>52</v>
      </c>
      <c r="J45" s="54"/>
      <c r="K45" s="55">
        <f>IFERROR((K44+L44)/D57,0)</f>
        <v>0</v>
      </c>
      <c r="L45" s="47"/>
      <c r="M45" s="47"/>
    </row>
    <row r="46" spans="2:16" x14ac:dyDescent="0.4">
      <c r="B46" s="6">
        <f t="shared" si="0"/>
        <v>40</v>
      </c>
      <c r="C46" s="13"/>
      <c r="D46" s="14"/>
      <c r="E46" s="15"/>
      <c r="F46" s="76"/>
      <c r="H46" s="47"/>
      <c r="I46" s="47" t="s">
        <v>20</v>
      </c>
      <c r="J46" s="47"/>
      <c r="K46" s="47"/>
      <c r="L46" s="47"/>
      <c r="M46" s="47"/>
    </row>
    <row r="47" spans="2:16" x14ac:dyDescent="0.4">
      <c r="B47" s="6">
        <f t="shared" si="0"/>
        <v>41</v>
      </c>
      <c r="C47" s="13"/>
      <c r="D47" s="14"/>
      <c r="E47" s="15"/>
      <c r="F47" s="76"/>
      <c r="H47" s="47"/>
      <c r="I47" s="47"/>
      <c r="J47" s="47"/>
      <c r="K47" s="47"/>
      <c r="L47" s="47"/>
      <c r="M47" s="47"/>
    </row>
    <row r="48" spans="2:16" x14ac:dyDescent="0.4">
      <c r="B48" s="6">
        <f t="shared" si="0"/>
        <v>42</v>
      </c>
      <c r="C48" s="13"/>
      <c r="D48" s="14"/>
      <c r="E48" s="15"/>
      <c r="F48" s="76"/>
      <c r="H48" s="47"/>
      <c r="I48" s="47"/>
      <c r="J48" s="47"/>
      <c r="K48" s="47"/>
      <c r="L48" s="47"/>
      <c r="M48" s="47"/>
    </row>
    <row r="49" spans="2:13" x14ac:dyDescent="0.4">
      <c r="B49" s="6">
        <f t="shared" si="0"/>
        <v>43</v>
      </c>
      <c r="C49" s="13"/>
      <c r="D49" s="14"/>
      <c r="E49" s="15"/>
      <c r="F49" s="76"/>
      <c r="H49" s="77" t="s">
        <v>25</v>
      </c>
      <c r="I49" s="78"/>
      <c r="J49" s="78"/>
      <c r="K49" s="79"/>
      <c r="L49" s="47"/>
      <c r="M49" s="47"/>
    </row>
    <row r="50" spans="2:13" x14ac:dyDescent="0.4">
      <c r="B50" s="6">
        <f t="shared" si="0"/>
        <v>44</v>
      </c>
      <c r="C50" s="13"/>
      <c r="D50" s="14"/>
      <c r="E50" s="15"/>
      <c r="F50" s="76"/>
      <c r="H50" s="87"/>
      <c r="I50" s="88"/>
      <c r="J50" s="88"/>
      <c r="K50" s="89"/>
      <c r="L50" s="47"/>
      <c r="M50" s="47"/>
    </row>
    <row r="51" spans="2:13" x14ac:dyDescent="0.4">
      <c r="B51" s="6">
        <f t="shared" si="0"/>
        <v>45</v>
      </c>
      <c r="C51" s="13"/>
      <c r="D51" s="14"/>
      <c r="E51" s="15"/>
      <c r="F51" s="76"/>
      <c r="H51" s="90"/>
      <c r="I51" s="91"/>
      <c r="J51" s="91"/>
      <c r="K51" s="92"/>
      <c r="L51" s="47"/>
      <c r="M51" s="47"/>
    </row>
    <row r="52" spans="2:13" x14ac:dyDescent="0.4">
      <c r="B52" s="6">
        <f t="shared" si="0"/>
        <v>46</v>
      </c>
      <c r="C52" s="13"/>
      <c r="D52" s="14"/>
      <c r="E52" s="15"/>
      <c r="F52" s="76"/>
      <c r="H52" s="90"/>
      <c r="I52" s="91"/>
      <c r="J52" s="91"/>
      <c r="K52" s="92"/>
      <c r="L52" s="47"/>
      <c r="M52" s="47"/>
    </row>
    <row r="53" spans="2:13" x14ac:dyDescent="0.4">
      <c r="B53" s="6">
        <f t="shared" si="0"/>
        <v>47</v>
      </c>
      <c r="C53" s="13"/>
      <c r="D53" s="14"/>
      <c r="E53" s="15"/>
      <c r="F53" s="76"/>
      <c r="H53" s="90"/>
      <c r="I53" s="91"/>
      <c r="J53" s="91"/>
      <c r="K53" s="92"/>
      <c r="L53" s="47"/>
      <c r="M53" s="47"/>
    </row>
    <row r="54" spans="2:13" x14ac:dyDescent="0.4">
      <c r="B54" s="6">
        <f t="shared" si="0"/>
        <v>48</v>
      </c>
      <c r="C54" s="13"/>
      <c r="D54" s="14"/>
      <c r="E54" s="15"/>
      <c r="F54" s="76"/>
      <c r="H54" s="90"/>
      <c r="I54" s="91"/>
      <c r="J54" s="91"/>
      <c r="K54" s="92"/>
      <c r="L54" s="47"/>
      <c r="M54" s="47"/>
    </row>
    <row r="55" spans="2:13" x14ac:dyDescent="0.4">
      <c r="B55" s="6">
        <f t="shared" si="0"/>
        <v>49</v>
      </c>
      <c r="C55" s="13"/>
      <c r="D55" s="14"/>
      <c r="E55" s="15"/>
      <c r="F55" s="76"/>
      <c r="H55" s="90"/>
      <c r="I55" s="91"/>
      <c r="J55" s="91"/>
      <c r="K55" s="92"/>
      <c r="L55" s="47"/>
      <c r="M55" s="47"/>
    </row>
    <row r="56" spans="2:13" x14ac:dyDescent="0.4">
      <c r="B56" s="6">
        <f t="shared" si="0"/>
        <v>50</v>
      </c>
      <c r="C56" s="13"/>
      <c r="D56" s="14"/>
      <c r="E56" s="15"/>
      <c r="F56" s="76"/>
      <c r="H56" s="93"/>
      <c r="I56" s="94"/>
      <c r="J56" s="94"/>
      <c r="K56" s="95"/>
      <c r="L56" s="47"/>
      <c r="M56" s="47"/>
    </row>
    <row r="57" spans="2:13" x14ac:dyDescent="0.4">
      <c r="B57" s="3"/>
      <c r="C57" s="4" t="s">
        <v>5</v>
      </c>
      <c r="D57" s="12">
        <f>COUNTA(E7:E56)</f>
        <v>0</v>
      </c>
      <c r="E57" s="5" t="s">
        <v>6</v>
      </c>
      <c r="H57" s="47"/>
      <c r="I57" s="47"/>
      <c r="J57" s="47"/>
      <c r="K57" s="47"/>
      <c r="L57" s="47"/>
      <c r="M57" s="47"/>
    </row>
    <row r="59" spans="2:13" x14ac:dyDescent="0.4">
      <c r="B59" t="s">
        <v>21</v>
      </c>
      <c r="C59" s="73" t="s">
        <v>49</v>
      </c>
    </row>
    <row r="60" spans="2:13" x14ac:dyDescent="0.4">
      <c r="B60" t="s">
        <v>22</v>
      </c>
      <c r="C60" t="s">
        <v>50</v>
      </c>
    </row>
  </sheetData>
  <sheetProtection sheet="1" objects="1" scenarios="1"/>
  <mergeCells count="9">
    <mergeCell ref="H50:K56"/>
    <mergeCell ref="I6:K6"/>
    <mergeCell ref="I2:K2"/>
    <mergeCell ref="O32:O33"/>
    <mergeCell ref="P32:P33"/>
    <mergeCell ref="I8:K8"/>
    <mergeCell ref="I10:K10"/>
    <mergeCell ref="H12:J12"/>
    <mergeCell ref="H16:K20"/>
  </mergeCells>
  <phoneticPr fontId="4"/>
  <conditionalFormatting sqref="I14:K15">
    <cfRule type="expression" dxfId="7" priority="13">
      <formula>$K$12="NO"</formula>
    </cfRule>
  </conditionalFormatting>
  <conditionalFormatting sqref="K14:K15">
    <cfRule type="expression" dxfId="6" priority="1">
      <formula>$J$14="JPY"</formula>
    </cfRule>
  </conditionalFormatting>
  <conditionalFormatting sqref="K23:K24">
    <cfRule type="expression" dxfId="5" priority="6">
      <formula>$I$10="免税事業者取引"</formula>
    </cfRule>
    <cfRule type="expression" dxfId="4" priority="10">
      <formula>$I$10="外貨取引"</formula>
    </cfRule>
  </conditionalFormatting>
  <conditionalFormatting sqref="K32:K33">
    <cfRule type="expression" dxfId="3" priority="4">
      <formula>$I$10="適格事業者取引"</formula>
    </cfRule>
    <cfRule type="expression" dxfId="2" priority="5">
      <formula>$I$10="外貨取引"</formula>
    </cfRule>
  </conditionalFormatting>
  <conditionalFormatting sqref="K41:K43">
    <cfRule type="expression" dxfId="1" priority="2">
      <formula>$I$10="免税事業者取引"</formula>
    </cfRule>
    <cfRule type="expression" dxfId="0" priority="3">
      <formula>$I$10="適格事業者取引"</formula>
    </cfRule>
  </conditionalFormatting>
  <dataValidations count="5">
    <dataValidation type="list" allowBlank="1" showInputMessage="1" showErrorMessage="1" sqref="K24 K33" xr:uid="{3D86BAE8-88E6-4EDE-843E-38A9971AA49F}">
      <formula1>"10,8,0"</formula1>
    </dataValidation>
    <dataValidation type="list" allowBlank="1" showInputMessage="1" prompt="選択して下さい。_x000a_選択肢が無い場合は直接入力して下さい。" sqref="K42" xr:uid="{86470F77-36DF-49BB-BF65-A2FD8ACB6AEF}">
      <formula1>"USD,EUR,CNY,VND"</formula1>
    </dataValidation>
    <dataValidation type="list" allowBlank="1" showInputMessage="1" showErrorMessage="1" prompt="領収書や請求書に適格事業者登録コード(T～)が記載されている場合は、「適格事業者取引」となり、登録コードの記載がなければ「免税事業者取引」、外貨で支払った場合は「外貨取引」となります。" sqref="I10:K10" xr:uid="{7352BC6D-B3AD-4AA0-918F-04B364FC7EE3}">
      <formula1>"適格事業者取引,免税事業者取引,外貨取引"</formula1>
    </dataValidation>
    <dataValidation type="list" allowBlank="1" showInputMessage="1" showErrorMessage="1" prompt="費用を他社と折半した場合は「YES」を選択、全額PTJ負担の場合は「NO」を選択して下さい。尚、会費制の場合は折半となりませんので「NO」を選択して下さい。" sqref="K12" xr:uid="{E8B98CD7-01AF-4DA2-A9F2-6153A641B085}">
      <formula1>"YES,NO"</formula1>
    </dataValidation>
    <dataValidation type="list" allowBlank="1" showInputMessage="1" sqref="J14" xr:uid="{34617E56-AC01-4174-B666-12451E76D8E4}">
      <formula1>"JPY,USD,EUR,CNY"</formula1>
    </dataValidation>
  </dataValidations>
  <pageMargins left="0.25" right="0.25" top="0.75" bottom="0.75" header="0.3" footer="0.3"/>
  <pageSetup paperSize="9" scale="63" orientation="portrait" r:id="rId1"/>
  <ignoredErrors>
    <ignoredError sqref="K35 K26 J15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6164A-E3A1-443C-9EEB-21569501E4B1}">
  <sheetPr>
    <pageSetUpPr fitToPage="1"/>
  </sheetPr>
  <dimension ref="B2"/>
  <sheetViews>
    <sheetView showGridLines="0" workbookViewId="0">
      <selection activeCell="E33" sqref="E33"/>
    </sheetView>
  </sheetViews>
  <sheetFormatPr defaultRowHeight="18.75" x14ac:dyDescent="0.4"/>
  <sheetData>
    <row r="2" spans="2:2" x14ac:dyDescent="0.4">
      <c r="B2" t="s">
        <v>18</v>
      </c>
    </row>
  </sheetData>
  <phoneticPr fontId="4"/>
  <pageMargins left="0" right="0" top="0.39370078740157483" bottom="0" header="0.31496062992125984" footer="0.31496062992125984"/>
  <pageSetup paperSize="9" scale="8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飲食費　国税要件保存書類（白黒印刷で提出）</vt:lpstr>
      <vt:lpstr>（参考）飲食費の範囲</vt:lpstr>
      <vt:lpstr>'飲食費　国税要件保存書類（白黒印刷で提出）'!Print_Area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Morimoto, Nanae</dc:creator>
  <cp:keywords>C_Restricted</cp:keywords>
  <cp:lastModifiedBy>Kim, Yejun</cp:lastModifiedBy>
  <cp:lastPrinted>2024-08-06T22:41:49Z</cp:lastPrinted>
  <dcterms:created xsi:type="dcterms:W3CDTF">2022-11-30T22:40:59Z</dcterms:created>
  <dcterms:modified xsi:type="dcterms:W3CDTF">2026-07-29T10:30:16Z</dcterms:modified>
</cp:coreProperties>
</file>
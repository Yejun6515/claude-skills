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見積纏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;[Red]\-#,##0.0"/>
    <numFmt numFmtId="165" formatCode="0.0%"/>
    <numFmt numFmtId="166" formatCode="#,##0.0"/>
    <numFmt numFmtId="167" formatCode="#,##0_ "/>
  </numFmts>
  <fonts count="17">
    <font>
      <name val="Calibri"/>
      <family val="2"/>
      <color theme="1"/>
      <sz val="11"/>
      <scheme val="minor"/>
    </font>
    <font>
      <name val="Arial"/>
      <family val="2"/>
      <b val="1"/>
      <sz val="12"/>
      <u val="double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color rgb="FFFF0000"/>
      <sz val="9"/>
    </font>
    <font>
      <name val="Arial"/>
      <family val="2"/>
      <b val="1"/>
      <color rgb="FFFF0000"/>
      <sz val="12"/>
      <u val="single"/>
    </font>
    <font>
      <name val="Arial"/>
      <family val="2"/>
      <b val="1"/>
      <sz val="11"/>
      <u val="double"/>
    </font>
    <font>
      <name val="Arial"/>
      <family val="2"/>
      <sz val="9"/>
    </font>
    <font>
      <name val="Arial"/>
      <family val="2"/>
      <b val="1"/>
      <color rgb="FFFF0000"/>
      <sz val="10"/>
    </font>
    <font>
      <name val="Arial"/>
      <family val="2"/>
      <b val="1"/>
      <sz val="11"/>
    </font>
    <font>
      <name val="Arial"/>
      <family val="2"/>
      <color rgb="FFFF0000"/>
      <sz val="8"/>
    </font>
    <font>
      <name val="ＭＳ Ｐゴシック"/>
      <charset val="128"/>
      <family val="3"/>
      <sz val="11"/>
    </font>
    <font>
      <name val="Arial"/>
      <charset val="128"/>
      <family val="2"/>
      <sz val="10"/>
    </font>
    <font>
      <name val="Arial"/>
      <family val="2"/>
      <color rgb="FFFF0000"/>
      <sz val="10"/>
    </font>
    <font>
      <name val="Arial"/>
      <family val="2"/>
      <strike val="1"/>
      <sz val="10"/>
    </font>
    <font>
      <name val="Arial"/>
      <family val="2"/>
      <b val="1"/>
      <color rgb="FF0070C0"/>
      <sz val="10"/>
    </font>
    <font>
      <name val="Arial"/>
      <family val="2"/>
      <color rgb="FF0070C0"/>
      <sz val="10"/>
    </font>
  </fonts>
  <fills count="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theme="1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 style="thin">
        <color indexed="64"/>
      </top>
      <bottom/>
      <diagonal/>
    </border>
    <border/>
  </borders>
  <cellStyleXfs count="1">
    <xf numFmtId="0" fontId="0" fillId="0" borderId="0"/>
  </cellStyleXfs>
  <cellXfs count="13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/>
    </xf>
    <xf numFmtId="14" fontId="2" fillId="0" borderId="0" applyAlignment="1" pivotButton="0" quotePrefix="0" xfId="0">
      <alignment horizontal="right" vertical="center"/>
    </xf>
    <xf numFmtId="0" fontId="6" fillId="3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right" vertical="center"/>
    </xf>
    <xf numFmtId="0" fontId="8" fillId="0" borderId="0" applyAlignment="1" pivotButton="0" quotePrefix="0" xfId="0">
      <alignment horizontal="right" vertical="center"/>
    </xf>
    <xf numFmtId="0" fontId="9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 wrapText="1"/>
    </xf>
    <xf numFmtId="38" fontId="2" fillId="0" borderId="0" applyAlignment="1" pivotButton="0" quotePrefix="0" xfId="0">
      <alignment vertical="center"/>
    </xf>
    <xf numFmtId="38" fontId="3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38" fontId="2" fillId="0" borderId="2" applyAlignment="1" pivotButton="0" quotePrefix="0" xfId="0">
      <alignment vertical="center"/>
    </xf>
    <xf numFmtId="38" fontId="2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2" fillId="0" borderId="4" applyAlignment="1" pivotButton="0" quotePrefix="0" xfId="0">
      <alignment vertical="center"/>
    </xf>
    <xf numFmtId="0" fontId="2" fillId="0" borderId="4" applyAlignment="1" pivotButton="0" quotePrefix="0" xfId="0">
      <alignment horizontal="center" vertical="center"/>
    </xf>
    <xf numFmtId="0" fontId="2" fillId="0" borderId="5" applyAlignment="1" pivotButton="0" quotePrefix="0" xfId="0">
      <alignment vertical="center"/>
    </xf>
    <xf numFmtId="0" fontId="2" fillId="0" borderId="5" applyAlignment="1" pivotButton="0" quotePrefix="0" xfId="0">
      <alignment horizontal="right" vertical="center"/>
    </xf>
    <xf numFmtId="0" fontId="2" fillId="0" borderId="6" applyAlignment="1" pivotButton="0" quotePrefix="0" xfId="0">
      <alignment horizontal="center" vertical="center"/>
    </xf>
    <xf numFmtId="0" fontId="2" fillId="0" borderId="6" applyAlignment="1" pivotButton="0" quotePrefix="0" xfId="0">
      <alignment horizontal="right" vertical="center"/>
    </xf>
    <xf numFmtId="0" fontId="7" fillId="0" borderId="6" applyAlignment="1" pivotButton="0" quotePrefix="0" xfId="0">
      <alignment horizontal="center" vertical="center"/>
    </xf>
    <xf numFmtId="0" fontId="12" fillId="0" borderId="7" applyAlignment="1" pivotButton="0" quotePrefix="0" xfId="0">
      <alignment vertical="center"/>
    </xf>
    <xf numFmtId="10" fontId="12" fillId="3" borderId="7" applyAlignment="1" pivotButton="0" quotePrefix="0" xfId="0">
      <alignment vertical="center"/>
    </xf>
    <xf numFmtId="0" fontId="2" fillId="0" borderId="8" applyAlignment="1" pivotButton="0" quotePrefix="0" xfId="0">
      <alignment horizontal="left" vertical="center"/>
    </xf>
    <xf numFmtId="164" fontId="13" fillId="0" borderId="8" applyAlignment="1" pivotButton="0" quotePrefix="0" xfId="0">
      <alignment horizontal="center" vertical="center"/>
    </xf>
    <xf numFmtId="38" fontId="14" fillId="0" borderId="8" applyAlignment="1" pivotButton="0" quotePrefix="0" xfId="0">
      <alignment horizontal="center" vertical="center"/>
    </xf>
    <xf numFmtId="164" fontId="2" fillId="0" borderId="8" applyAlignment="1" pivotButton="0" quotePrefix="0" xfId="0">
      <alignment horizontal="center" vertical="center"/>
    </xf>
    <xf numFmtId="38" fontId="2" fillId="0" borderId="8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/>
    </xf>
    <xf numFmtId="164" fontId="2" fillId="0" borderId="4" applyAlignment="1" pivotButton="0" quotePrefix="0" xfId="0">
      <alignment horizontal="right" vertical="center"/>
    </xf>
    <xf numFmtId="164" fontId="2" fillId="0" borderId="4" applyAlignment="1" pivotButton="0" quotePrefix="0" xfId="0">
      <alignment vertical="center"/>
    </xf>
    <xf numFmtId="38" fontId="2" fillId="0" borderId="4" applyAlignment="1" pivotButton="0" quotePrefix="0" xfId="0">
      <alignment vertical="center"/>
    </xf>
    <xf numFmtId="38" fontId="7" fillId="0" borderId="4" applyAlignment="1" pivotButton="0" quotePrefix="0" xfId="0">
      <alignment vertical="center"/>
    </xf>
    <xf numFmtId="40" fontId="2" fillId="0" borderId="5" applyAlignment="1" pivotButton="0" quotePrefix="0" xfId="0">
      <alignment vertical="center"/>
    </xf>
    <xf numFmtId="0" fontId="2" fillId="0" borderId="7" applyAlignment="1" pivotButton="0" quotePrefix="0" xfId="0">
      <alignment horizontal="left" vertical="center"/>
    </xf>
    <xf numFmtId="164" fontId="2" fillId="0" borderId="7" applyAlignment="1" pivotButton="0" quotePrefix="0" xfId="0">
      <alignment horizontal="right" vertical="center"/>
    </xf>
    <xf numFmtId="164" fontId="2" fillId="0" borderId="7" applyAlignment="1" pivotButton="0" quotePrefix="0" xfId="0">
      <alignment vertical="center"/>
    </xf>
    <xf numFmtId="38" fontId="2" fillId="0" borderId="7" applyAlignment="1" pivotButton="0" quotePrefix="0" xfId="0">
      <alignment vertical="center"/>
    </xf>
    <xf numFmtId="38" fontId="7" fillId="0" borderId="7" applyAlignment="1" pivotButton="0" quotePrefix="0" xfId="0">
      <alignment vertical="center"/>
    </xf>
    <xf numFmtId="0" fontId="3" fillId="0" borderId="7" applyAlignment="1" pivotButton="0" quotePrefix="0" xfId="0">
      <alignment vertical="center"/>
    </xf>
    <xf numFmtId="10" fontId="2" fillId="0" borderId="7" applyAlignment="1" pivotButton="0" quotePrefix="0" xfId="0">
      <alignment vertical="center"/>
    </xf>
    <xf numFmtId="10" fontId="3" fillId="0" borderId="7" applyAlignment="1" pivotButton="0" quotePrefix="0" xfId="0">
      <alignment vertical="center"/>
    </xf>
    <xf numFmtId="0" fontId="2" fillId="0" borderId="9" applyAlignment="1" pivotButton="0" quotePrefix="0" xfId="0">
      <alignment horizontal="left" vertical="center"/>
    </xf>
    <xf numFmtId="164" fontId="2" fillId="0" borderId="9" applyAlignment="1" pivotButton="0" quotePrefix="0" xfId="0">
      <alignment horizontal="right" vertical="center"/>
    </xf>
    <xf numFmtId="164" fontId="2" fillId="0" borderId="9" applyAlignment="1" pivotButton="0" quotePrefix="0" xfId="0">
      <alignment vertical="center"/>
    </xf>
    <xf numFmtId="38" fontId="2" fillId="0" borderId="9" applyAlignment="1" pivotButton="0" quotePrefix="0" xfId="0">
      <alignment vertical="center"/>
    </xf>
    <xf numFmtId="38" fontId="7" fillId="0" borderId="9" applyAlignment="1" pivotButton="0" quotePrefix="0" xfId="0">
      <alignment vertical="center"/>
    </xf>
    <xf numFmtId="0" fontId="2" fillId="0" borderId="7" applyAlignment="1" pivotButton="0" quotePrefix="0" xfId="0">
      <alignment vertical="center"/>
    </xf>
    <xf numFmtId="0" fontId="2" fillId="0" borderId="5" applyAlignment="1" pivotButton="0" quotePrefix="0" xfId="0">
      <alignment horizontal="center" vertical="center"/>
    </xf>
    <xf numFmtId="164" fontId="2" fillId="0" borderId="5" applyAlignment="1" pivotButton="0" quotePrefix="0" xfId="0">
      <alignment horizontal="right" vertical="center"/>
    </xf>
    <xf numFmtId="38" fontId="2" fillId="0" borderId="5" applyAlignment="1" pivotButton="0" quotePrefix="0" xfId="0">
      <alignment vertical="center"/>
    </xf>
    <xf numFmtId="38" fontId="7" fillId="0" borderId="5" applyAlignment="1" pivotButton="0" quotePrefix="0" xfId="0">
      <alignment vertical="center"/>
    </xf>
    <xf numFmtId="165" fontId="2" fillId="3" borderId="7" applyAlignment="1" pivotButton="0" quotePrefix="0" xfId="0">
      <alignment horizontal="right" vertical="center"/>
    </xf>
    <xf numFmtId="0" fontId="2" fillId="3" borderId="7" applyAlignment="1" pivotButton="0" quotePrefix="0" xfId="0">
      <alignment vertical="center"/>
    </xf>
    <xf numFmtId="164" fontId="13" fillId="0" borderId="7" applyAlignment="1" pivotButton="0" quotePrefix="0" xfId="0">
      <alignment horizontal="right" vertical="center"/>
    </xf>
    <xf numFmtId="164" fontId="13" fillId="0" borderId="7" applyAlignment="1" pivotButton="0" quotePrefix="0" xfId="0">
      <alignment vertical="center"/>
    </xf>
    <xf numFmtId="0" fontId="15" fillId="0" borderId="7" applyAlignment="1" pivotButton="0" quotePrefix="0" xfId="0">
      <alignment vertical="center"/>
    </xf>
    <xf numFmtId="10" fontId="15" fillId="3" borderId="7" applyAlignment="1" pivotButton="0" quotePrefix="0" xfId="0">
      <alignment vertical="center"/>
    </xf>
    <xf numFmtId="0" fontId="3" fillId="0" borderId="10" applyAlignment="1" pivotButton="0" quotePrefix="0" xfId="0">
      <alignment horizontal="left" vertical="center"/>
    </xf>
    <xf numFmtId="164" fontId="3" fillId="0" borderId="7" applyAlignment="1" pivotButton="0" quotePrefix="0" xfId="0">
      <alignment horizontal="right" vertical="center"/>
    </xf>
    <xf numFmtId="10" fontId="2" fillId="3" borderId="7" applyAlignment="1" pivotButton="0" quotePrefix="0" xfId="0">
      <alignment horizontal="right" vertical="center"/>
    </xf>
    <xf numFmtId="10" fontId="2" fillId="0" borderId="7" applyAlignment="1" pivotButton="0" quotePrefix="0" xfId="0">
      <alignment horizontal="right" vertical="center"/>
    </xf>
    <xf numFmtId="0" fontId="2" fillId="0" borderId="7" applyAlignment="1" pivotButton="0" quotePrefix="0" xfId="0">
      <alignment horizontal="center" vertical="center"/>
    </xf>
    <xf numFmtId="9" fontId="2" fillId="3" borderId="7" applyAlignment="1" pivotButton="0" quotePrefix="0" xfId="0">
      <alignment horizontal="right" vertical="center"/>
    </xf>
    <xf numFmtId="9" fontId="2" fillId="0" borderId="7" applyAlignment="1" pivotButton="0" quotePrefix="0" xfId="0">
      <alignment horizontal="right" vertical="center"/>
    </xf>
    <xf numFmtId="0" fontId="7" fillId="0" borderId="5" applyAlignment="1" pivotButton="0" quotePrefix="0" xfId="0">
      <alignment horizontal="center" vertical="center"/>
    </xf>
    <xf numFmtId="0" fontId="2" fillId="4" borderId="5" applyAlignment="1" pivotButton="0" quotePrefix="0" xfId="0">
      <alignment vertical="center"/>
    </xf>
    <xf numFmtId="166" fontId="2" fillId="4" borderId="5" applyAlignment="1" pivotButton="0" quotePrefix="0" xfId="0">
      <alignment horizontal="right" vertical="center"/>
    </xf>
    <xf numFmtId="0" fontId="16" fillId="0" borderId="5" applyAlignment="1" pivotButton="0" quotePrefix="0" xfId="0">
      <alignment vertical="center"/>
    </xf>
    <xf numFmtId="164" fontId="16" fillId="0" borderId="9" applyAlignment="1" pivotButton="0" quotePrefix="0" xfId="0">
      <alignment vertical="center"/>
    </xf>
    <xf numFmtId="0" fontId="15" fillId="0" borderId="0" applyAlignment="1" pivotButton="0" quotePrefix="0" xfId="0">
      <alignment vertical="center"/>
    </xf>
    <xf numFmtId="0" fontId="7" fillId="0" borderId="11" applyAlignment="1" pivotButton="0" quotePrefix="0" xfId="0">
      <alignment horizontal="center" vertical="center"/>
    </xf>
    <xf numFmtId="0" fontId="2" fillId="0" borderId="11" applyAlignment="1" pivotButton="0" quotePrefix="0" xfId="0">
      <alignment vertical="center" shrinkToFit="1"/>
    </xf>
    <xf numFmtId="38" fontId="7" fillId="0" borderId="11" applyAlignment="1" pivotButton="0" quotePrefix="0" xfId="0">
      <alignment vertical="center"/>
    </xf>
    <xf numFmtId="0" fontId="2" fillId="0" borderId="11" applyAlignment="1" pivotButton="0" quotePrefix="0" xfId="0">
      <alignment vertical="center"/>
    </xf>
    <xf numFmtId="165" fontId="2" fillId="0" borderId="7" applyAlignment="1" pivotButton="0" quotePrefix="0" xfId="0">
      <alignment horizontal="right" vertical="center"/>
    </xf>
    <xf numFmtId="0" fontId="2" fillId="0" borderId="9" applyAlignment="1" pivotButton="0" quotePrefix="0" xfId="0">
      <alignment vertical="center"/>
    </xf>
    <xf numFmtId="165" fontId="2" fillId="3" borderId="9" applyAlignment="1" pivotButton="0" quotePrefix="0" xfId="0">
      <alignment horizontal="right" vertical="center"/>
    </xf>
    <xf numFmtId="0" fontId="2" fillId="0" borderId="9" applyAlignment="1" pivotButton="0" quotePrefix="0" xfId="0">
      <alignment horizontal="right" vertical="center"/>
    </xf>
    <xf numFmtId="10" fontId="2" fillId="0" borderId="9" applyAlignment="1" pivotButton="0" quotePrefix="0" xfId="0">
      <alignment vertical="center"/>
    </xf>
    <xf numFmtId="167" fontId="3" fillId="0" borderId="0" applyAlignment="1" pivotButton="0" quotePrefix="0" xfId="0">
      <alignment vertical="center"/>
    </xf>
    <xf numFmtId="9" fontId="7" fillId="0" borderId="12" applyAlignment="1" pivotButton="0" quotePrefix="0" xfId="0">
      <alignment vertical="center" wrapText="1"/>
    </xf>
    <xf numFmtId="9" fontId="7" fillId="0" borderId="0" applyAlignment="1" pivotButton="0" quotePrefix="0" xfId="0">
      <alignment vertical="center"/>
    </xf>
    <xf numFmtId="0" fontId="3" fillId="0" borderId="5" applyAlignment="1" pivotButton="0" quotePrefix="0" xfId="0">
      <alignment vertical="center"/>
    </xf>
    <xf numFmtId="167" fontId="2" fillId="0" borderId="13" applyAlignment="1" pivotButton="0" quotePrefix="0" xfId="0">
      <alignment vertical="center" wrapText="1"/>
    </xf>
    <xf numFmtId="167" fontId="2" fillId="0" borderId="5" applyAlignment="1" pivotButton="0" quotePrefix="0" xfId="0">
      <alignment horizontal="center" vertical="center"/>
    </xf>
    <xf numFmtId="167" fontId="2" fillId="0" borderId="5" applyAlignment="1" pivotButton="0" quotePrefix="0" xfId="0">
      <alignment horizontal="center" vertical="center" wrapText="1"/>
    </xf>
    <xf numFmtId="167" fontId="2" fillId="0" borderId="1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 wrapText="1"/>
    </xf>
    <xf numFmtId="167" fontId="16" fillId="0" borderId="4" applyAlignment="1" pivotButton="0" quotePrefix="0" xfId="0">
      <alignment vertical="center"/>
    </xf>
    <xf numFmtId="165" fontId="16" fillId="0" borderId="4" applyAlignment="1" pivotButton="0" quotePrefix="0" xfId="0">
      <alignment vertical="center"/>
    </xf>
    <xf numFmtId="167" fontId="2" fillId="0" borderId="4" applyAlignment="1" pivotButton="0" quotePrefix="0" xfId="0">
      <alignment vertical="center"/>
    </xf>
    <xf numFmtId="38" fontId="2" fillId="5" borderId="7" applyAlignment="1" pivotButton="0" quotePrefix="0" xfId="0">
      <alignment vertical="center"/>
    </xf>
    <xf numFmtId="40" fontId="2" fillId="0" borderId="7" applyAlignment="1" pivotButton="0" quotePrefix="0" xfId="0">
      <alignment vertical="center"/>
    </xf>
    <xf numFmtId="40" fontId="2" fillId="0" borderId="0" applyAlignment="1" pivotButton="0" quotePrefix="0" xfId="0">
      <alignment vertical="center"/>
    </xf>
    <xf numFmtId="38" fontId="2" fillId="3" borderId="7" applyAlignment="1" pivotButton="0" quotePrefix="0" xfId="0">
      <alignment vertical="center"/>
    </xf>
    <xf numFmtId="38" fontId="2" fillId="0" borderId="14" applyAlignment="1" pivotButton="0" quotePrefix="0" xfId="0">
      <alignment vertical="center"/>
    </xf>
    <xf numFmtId="38" fontId="2" fillId="3" borderId="14" applyAlignment="1" pivotButton="0" quotePrefix="0" xfId="0">
      <alignment vertical="center"/>
    </xf>
    <xf numFmtId="38" fontId="3" fillId="0" borderId="9" applyAlignment="1" pivotButton="0" quotePrefix="0" xfId="0">
      <alignment vertical="center"/>
    </xf>
    <xf numFmtId="38" fontId="3" fillId="5" borderId="9" applyAlignment="1" pivotButton="0" quotePrefix="0" xfId="0">
      <alignment vertical="center"/>
    </xf>
    <xf numFmtId="0" fontId="3" fillId="0" borderId="15" applyAlignment="1" pivotButton="0" quotePrefix="0" xfId="0">
      <alignment vertical="center"/>
    </xf>
    <xf numFmtId="38" fontId="3" fillId="0" borderId="15" applyAlignment="1" pivotButton="0" quotePrefix="0" xfId="0">
      <alignment vertical="center"/>
    </xf>
    <xf numFmtId="0" fontId="3" fillId="0" borderId="16" applyAlignment="1" pivotButton="0" quotePrefix="0" xfId="0">
      <alignment vertical="center"/>
    </xf>
    <xf numFmtId="167" fontId="16" fillId="0" borderId="16" applyAlignment="1" pivotButton="0" quotePrefix="0" xfId="0">
      <alignment vertical="center"/>
    </xf>
    <xf numFmtId="165" fontId="16" fillId="0" borderId="16" applyAlignment="1" pivotButton="0" quotePrefix="0" xfId="0">
      <alignment vertical="center"/>
    </xf>
    <xf numFmtId="38" fontId="16" fillId="0" borderId="16" applyAlignment="1" pivotButton="0" quotePrefix="0" xfId="0">
      <alignment vertical="center"/>
    </xf>
    <xf numFmtId="167" fontId="2" fillId="0" borderId="16" applyAlignment="1" pivotButton="0" quotePrefix="0" xfId="0">
      <alignment vertical="center"/>
    </xf>
    <xf numFmtId="0" fontId="0" fillId="0" borderId="16" pivotButton="0" quotePrefix="0" xfId="0"/>
    <xf numFmtId="0" fontId="2" fillId="0" borderId="16" applyAlignment="1" pivotButton="0" quotePrefix="0" xfId="0">
      <alignment vertical="center"/>
    </xf>
    <xf numFmtId="38" fontId="2" fillId="0" borderId="16" applyAlignment="1" pivotButton="0" quotePrefix="0" xfId="0">
      <alignment vertical="center"/>
    </xf>
    <xf numFmtId="40" fontId="2" fillId="0" borderId="16" applyAlignment="1" pivotButton="0" quotePrefix="0" xfId="0">
      <alignment vertical="center"/>
    </xf>
    <xf numFmtId="38" fontId="3" fillId="0" borderId="16" applyAlignment="1" pivotButton="0" quotePrefix="0" xfId="0">
      <alignment vertical="center"/>
    </xf>
    <xf numFmtId="167" fontId="2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9" fontId="2" fillId="0" borderId="0" applyAlignment="1" pivotButton="0" quotePrefix="0" xfId="0">
      <alignment vertical="center"/>
    </xf>
    <xf numFmtId="0" fontId="2" fillId="0" borderId="4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164" fontId="2" fillId="0" borderId="0" applyAlignment="1" pivotButton="0" quotePrefix="0" xfId="0">
      <alignment vertical="center"/>
    </xf>
    <xf numFmtId="0" fontId="2" fillId="0" borderId="14" applyAlignment="1" pivotButton="0" quotePrefix="0" xfId="0">
      <alignment vertical="center"/>
    </xf>
    <xf numFmtId="0" fontId="3" fillId="0" borderId="9" applyAlignment="1" pivotButton="0" quotePrefix="0" xfId="0">
      <alignment vertical="center"/>
    </xf>
    <xf numFmtId="0" fontId="3" fillId="0" borderId="9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3" fillId="0" borderId="4" applyAlignment="1" pivotButton="0" quotePrefix="0" xfId="0">
      <alignment vertical="center"/>
    </xf>
    <xf numFmtId="38" fontId="3" fillId="0" borderId="4" applyAlignment="1" pivotButton="0" quotePrefix="0" xfId="0">
      <alignment vertical="center"/>
    </xf>
    <xf numFmtId="2" fontId="2" fillId="0" borderId="7" applyAlignment="1" pivotButton="0" quotePrefix="0" xfId="0">
      <alignment vertical="center"/>
    </xf>
    <xf numFmtId="2" fontId="2" fillId="0" borderId="9" applyAlignment="1" pivotButton="0" quotePrefix="0" xfId="0">
      <alignment vertical="center"/>
    </xf>
    <xf numFmtId="0" fontId="13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C55"/>
  <sheetViews>
    <sheetView workbookViewId="0">
      <selection activeCell="A1" sqref="A1"/>
    </sheetView>
  </sheetViews>
  <sheetFormatPr baseColWidth="8" defaultRowHeight="12.75"/>
  <cols>
    <col width="3.625" customWidth="1" min="1" max="1"/>
    <col width="18.625" customWidth="1" min="2" max="2"/>
    <col width="11.125" customWidth="1" min="3" max="3"/>
    <col width="10.125" customWidth="1" min="4" max="4"/>
    <col width="10" customWidth="1" min="5" max="5"/>
    <col width="11.125" customWidth="1" min="6" max="6"/>
    <col width="11.125" customWidth="1" min="7" max="7"/>
    <col width="11.125" customWidth="1" min="8" max="8"/>
    <col width="23" customWidth="1" min="9" max="9"/>
    <col width="12.5" customWidth="1" min="10" max="10"/>
    <col width="13.625" customWidth="1" min="14" max="14"/>
    <col width="15.25" customWidth="1" min="16" max="16"/>
    <col width="14" customWidth="1" min="17" max="17"/>
    <col width="17.5" customWidth="1" min="18" max="18"/>
    <col width="13.125" customWidth="1" min="19" max="19"/>
    <col width="9" customWidth="1" min="20" max="20"/>
    <col width="10.5" customWidth="1" min="21" max="21"/>
    <col width="9" customWidth="1" min="22" max="22"/>
    <col width="23.75" customWidth="1" min="24" max="24"/>
    <col width="9" customWidth="1" min="25" max="25"/>
    <col width="9" customWidth="1" min="28" max="28"/>
    <col width="9" customWidth="1" min="30" max="30"/>
  </cols>
  <sheetData>
    <row r="1" ht="12" customHeight="1">
      <c r="A1" s="1" t="n"/>
      <c r="B1" s="2" t="n"/>
      <c r="C1" s="3" t="n"/>
      <c r="D1" s="2" t="n"/>
      <c r="E1" s="4" t="n"/>
      <c r="G1" s="5" t="n"/>
      <c r="P1" s="6" t="n"/>
      <c r="Q1" s="6" t="n"/>
      <c r="R1" s="6" t="n"/>
    </row>
    <row r="2" ht="12" customHeight="1">
      <c r="B2" s="7" t="n"/>
      <c r="C2" s="8" t="inlineStr">
        <is>
          <t>Input</t>
        </is>
      </c>
      <c r="E2" s="9" t="n"/>
      <c r="P2" s="10" t="inlineStr">
        <is>
          <t>Kim YJ</t>
        </is>
      </c>
      <c r="Q2" s="11" t="n"/>
      <c r="R2" s="10" t="n"/>
    </row>
    <row r="3" ht="12" customHeight="1">
      <c r="A3" s="8" t="n"/>
      <c r="B3" s="12" t="inlineStr">
        <is>
          <t>1.S/V md for PTJ use only</t>
        </is>
      </c>
      <c r="C3" s="13" t="n"/>
      <c r="D3" s="13" t="n"/>
      <c r="E3" s="13" t="n"/>
      <c r="G3" s="12" t="n"/>
      <c r="H3" s="8" t="n"/>
      <c r="I3" s="12" t="inlineStr">
        <is>
          <t>2-1. Cost/Expenses</t>
        </is>
      </c>
      <c r="K3" s="12" t="n"/>
      <c r="L3" s="14" t="n"/>
      <c r="M3" s="14" t="n"/>
      <c r="N3" s="14" t="n"/>
      <c r="O3" s="15" t="inlineStr">
        <is>
          <t>2-2. Exchange Rate</t>
        </is>
      </c>
      <c r="Q3" s="16" t="n"/>
      <c r="R3" s="8" t="n"/>
      <c r="S3" s="8" t="n"/>
      <c r="T3" s="17" t="n"/>
      <c r="U3" s="8" t="n"/>
      <c r="V3" s="8" t="n"/>
      <c r="W3" s="8" t="n"/>
      <c r="X3" s="8" t="n"/>
      <c r="Y3" s="8" t="n"/>
      <c r="Z3" s="8" t="n"/>
      <c r="AB3" s="18" t="n"/>
      <c r="AC3" s="18" t="n"/>
    </row>
    <row r="4" ht="12" customHeight="1">
      <c r="B4" s="19" t="n"/>
      <c r="C4" s="20" t="inlineStr">
        <is>
          <t>Man-Month</t>
        </is>
      </c>
      <c r="D4" s="21" t="inlineStr">
        <is>
          <t>Man-Calendar day</t>
        </is>
      </c>
      <c r="E4" s="22" t="n"/>
      <c r="F4" s="21" t="inlineStr">
        <is>
          <t>備考</t>
        </is>
      </c>
      <c r="G4" s="21" t="inlineStr">
        <is>
          <t>単価</t>
        </is>
      </c>
      <c r="I4" s="23" t="n"/>
      <c r="J4" s="24" t="inlineStr">
        <is>
          <t>PTJ</t>
        </is>
      </c>
      <c r="K4" s="23" t="inlineStr">
        <is>
          <t>remarks</t>
        </is>
      </c>
      <c r="L4" s="23" t="n"/>
      <c r="M4" s="23" t="n"/>
      <c r="O4" s="25" t="inlineStr">
        <is>
          <t>USD/JPY</t>
        </is>
      </c>
      <c r="P4" s="26" t="n"/>
      <c r="S4" s="17" t="n"/>
      <c r="T4" s="8" t="n"/>
    </row>
    <row r="5" ht="12" customHeight="1">
      <c r="A5" s="15" t="n"/>
      <c r="B5" s="27" t="n"/>
      <c r="C5" s="27" t="inlineStr">
        <is>
          <t>Spec.</t>
        </is>
      </c>
      <c r="D5" s="28" t="n">
        <v>30.5</v>
      </c>
      <c r="E5" s="29" t="inlineStr">
        <is>
          <t>day/month</t>
        </is>
      </c>
      <c r="F5" s="28" t="n"/>
      <c r="G5" s="29" t="n"/>
      <c r="I5" s="30" t="inlineStr">
        <is>
          <t>PTKorea COMM</t>
        </is>
      </c>
      <c r="J5" s="31" t="n">
        <v>0.05</v>
      </c>
      <c r="K5" s="30" t="inlineStr">
        <is>
          <t>PTKorea</t>
        </is>
      </c>
      <c r="L5" s="30" t="n"/>
      <c r="M5" s="30" t="n"/>
      <c r="O5" s="25" t="inlineStr">
        <is>
          <t>Euro/JPY</t>
        </is>
      </c>
      <c r="P5" s="26" t="n"/>
      <c r="S5" s="17" t="n"/>
      <c r="T5" s="8" t="n"/>
    </row>
    <row r="6" ht="12" customHeight="1">
      <c r="B6" s="32" t="inlineStr">
        <is>
          <t>RCM</t>
        </is>
      </c>
      <c r="C6" s="33" t="n"/>
      <c r="D6" s="33" t="inlineStr">
        <is>
          <t>C-md</t>
        </is>
      </c>
      <c r="E6" s="34" t="inlineStr">
        <is>
          <t>W-md</t>
        </is>
      </c>
      <c r="F6" s="35" t="n"/>
      <c r="G6" s="36" t="n"/>
      <c r="I6" s="30" t="inlineStr">
        <is>
          <t>insurance</t>
        </is>
      </c>
      <c r="J6" s="31" t="n">
        <v>0.01</v>
      </c>
      <c r="K6" s="30" t="n"/>
      <c r="L6" s="30" t="n"/>
      <c r="M6" s="30" t="n"/>
      <c r="O6" s="25" t="inlineStr">
        <is>
          <t>USD/INR</t>
        </is>
      </c>
      <c r="P6" s="26" t="n"/>
      <c r="R6" s="8" t="n"/>
      <c r="S6" s="17" t="n"/>
      <c r="T6" s="8" t="n"/>
      <c r="U6" s="8" t="n"/>
      <c r="V6" s="8" t="n"/>
      <c r="W6" s="8" t="n"/>
      <c r="X6" s="8" t="n"/>
      <c r="Y6" s="8" t="n"/>
      <c r="Z6" s="8" t="n"/>
      <c r="AB6" s="18" t="n"/>
      <c r="AC6" s="18" t="n"/>
    </row>
    <row r="7" ht="12" customHeight="1">
      <c r="B7" s="37" t="inlineStr">
        <is>
          <t>Mech</t>
        </is>
      </c>
      <c r="C7" s="38">
        <f>D7/D5</f>
        <v/>
      </c>
      <c r="D7" s="39" t="n"/>
      <c r="E7" s="40" t="n"/>
      <c r="F7" s="40" t="n"/>
      <c r="G7" s="41" t="n"/>
      <c r="I7" s="30" t="inlineStr">
        <is>
          <t>bond charge</t>
        </is>
      </c>
      <c r="J7" s="31" t="n">
        <v>0.005</v>
      </c>
      <c r="K7" s="30" t="n"/>
      <c r="L7" s="30" t="n"/>
      <c r="M7" s="30" t="n"/>
      <c r="O7" s="25" t="inlineStr">
        <is>
          <t>Euro/USD</t>
        </is>
      </c>
      <c r="P7" s="42" t="n"/>
      <c r="R7" s="8" t="n"/>
      <c r="S7" s="17" t="n"/>
      <c r="T7" s="8" t="n"/>
      <c r="U7" s="8" t="n"/>
      <c r="V7" s="8" t="n"/>
      <c r="W7" s="8" t="n"/>
      <c r="X7" s="8" t="n"/>
      <c r="Y7" s="8" t="n"/>
      <c r="Z7" s="8" t="n"/>
      <c r="AB7" s="18" t="n"/>
      <c r="AC7" s="18" t="n"/>
    </row>
    <row r="8" ht="12" customHeight="1">
      <c r="B8" s="43" t="inlineStr">
        <is>
          <t>EA</t>
        </is>
      </c>
      <c r="C8" s="44">
        <f>D8/30.5</f>
        <v/>
      </c>
      <c r="D8" s="45" t="n"/>
      <c r="E8" s="46" t="n"/>
      <c r="F8" s="46" t="n"/>
      <c r="G8" s="47" t="n"/>
      <c r="I8" s="48" t="inlineStr">
        <is>
          <t xml:space="preserve"> total (others)</t>
        </is>
      </c>
      <c r="J8" s="49">
        <f>SUM(J5:J7)</f>
        <v/>
      </c>
      <c r="K8" s="49" t="n"/>
      <c r="L8" s="50" t="n"/>
      <c r="M8" s="48" t="n"/>
      <c r="R8" s="8" t="n"/>
      <c r="S8" s="17" t="n"/>
      <c r="T8" s="8" t="n"/>
      <c r="U8" s="8" t="n"/>
      <c r="V8" s="8" t="n"/>
      <c r="W8" s="8" t="n"/>
      <c r="X8" s="8" t="n"/>
      <c r="Y8" s="8" t="n"/>
      <c r="Z8" s="8" t="n"/>
      <c r="AB8" s="18" t="n"/>
      <c r="AC8" s="18" t="n"/>
    </row>
    <row r="9" ht="12" customHeight="1">
      <c r="B9" s="48" t="n"/>
      <c r="C9" s="44" t="n"/>
      <c r="D9" s="45" t="n"/>
      <c r="E9" s="46" t="n"/>
      <c r="F9" s="46" t="n"/>
      <c r="G9" s="47" t="n"/>
      <c r="I9" s="48" t="n"/>
      <c r="J9" s="49" t="n"/>
      <c r="K9" s="49" t="n"/>
      <c r="L9" s="50" t="n"/>
      <c r="M9" s="48" t="n"/>
      <c r="R9" s="8" t="n"/>
      <c r="S9" s="17" t="n"/>
      <c r="T9" s="8" t="n"/>
      <c r="U9" s="8" t="n"/>
      <c r="V9" s="8" t="n"/>
      <c r="W9" s="8" t="n"/>
      <c r="X9" s="8" t="n"/>
      <c r="Y9" s="8" t="n"/>
      <c r="Z9" s="8" t="n"/>
      <c r="AB9" s="18" t="n"/>
      <c r="AC9" s="18" t="n"/>
    </row>
    <row r="10" ht="12" customHeight="1">
      <c r="B10" s="51" t="n"/>
      <c r="C10" s="52" t="n"/>
      <c r="D10" s="53" t="n"/>
      <c r="E10" s="54" t="n"/>
      <c r="F10" s="54" t="n"/>
      <c r="G10" s="55" t="n"/>
      <c r="I10" s="48" t="inlineStr">
        <is>
          <t>TAX</t>
        </is>
      </c>
      <c r="J10" s="56" t="n"/>
      <c r="K10" s="56" t="n"/>
      <c r="L10" s="48" t="n"/>
      <c r="M10" s="48" t="n"/>
      <c r="R10" s="8" t="n"/>
      <c r="S10" s="17" t="n"/>
      <c r="T10" s="8" t="n"/>
      <c r="U10" s="8" t="n"/>
      <c r="V10" s="8" t="n"/>
      <c r="W10" s="8" t="n"/>
      <c r="X10" s="8" t="n"/>
      <c r="Y10" s="8" t="n"/>
      <c r="Z10" s="8" t="n"/>
      <c r="AB10" s="18" t="n"/>
      <c r="AC10" s="18" t="n"/>
    </row>
    <row r="11" ht="12" customHeight="1">
      <c r="B11" s="57" t="inlineStr">
        <is>
          <t>合計</t>
        </is>
      </c>
      <c r="C11" s="58">
        <f>SUM(C7:C10)</f>
        <v/>
      </c>
      <c r="D11" s="58">
        <f>SUM(D7:D10)</f>
        <v/>
      </c>
      <c r="E11" s="59" t="n"/>
      <c r="F11" s="59" t="n"/>
      <c r="G11" s="60" t="n"/>
      <c r="I11" s="56" t="inlineStr">
        <is>
          <t>Equipment</t>
        </is>
      </c>
      <c r="J11" s="61" t="n">
        <v>0</v>
      </c>
      <c r="K11" s="56" t="n"/>
      <c r="L11" s="56" t="n"/>
      <c r="M11" s="56" t="n"/>
      <c r="R11" s="8" t="n"/>
      <c r="S11" s="17" t="n"/>
      <c r="T11" s="8" t="n"/>
      <c r="U11" s="8" t="n"/>
      <c r="V11" s="8" t="n"/>
      <c r="W11" s="8" t="n"/>
      <c r="X11" s="8" t="n"/>
      <c r="Y11" s="8" t="n"/>
      <c r="Z11" s="8" t="n"/>
      <c r="AB11" s="18" t="n"/>
      <c r="AC11" s="18" t="n"/>
    </row>
    <row r="12" ht="12" customHeight="1">
      <c r="B12" s="48" t="inlineStr">
        <is>
          <t>その他</t>
        </is>
      </c>
      <c r="C12" s="48" t="n"/>
      <c r="D12" s="48" t="n"/>
      <c r="E12" s="48" t="n"/>
      <c r="F12" s="46" t="n"/>
      <c r="G12" s="46" t="n"/>
      <c r="I12" s="56" t="inlineStr">
        <is>
          <t>SV indivisual Tax</t>
        </is>
      </c>
      <c r="J12" s="62" t="n">
        <v>120</v>
      </c>
      <c r="K12" s="56" t="inlineStr">
        <is>
          <t>2023,2024 Korea average</t>
        </is>
      </c>
      <c r="L12" s="56" t="n"/>
      <c r="M12" s="56" t="n"/>
      <c r="R12" s="8" t="n"/>
      <c r="S12" s="17" t="n"/>
      <c r="T12" s="8" t="n"/>
      <c r="U12" s="8" t="n"/>
      <c r="V12" s="8" t="n"/>
      <c r="W12" s="8" t="n"/>
      <c r="X12" s="8" t="n"/>
      <c r="Y12" s="8" t="n"/>
      <c r="Z12" s="8" t="n"/>
      <c r="AB12" s="18" t="n"/>
      <c r="AC12" s="18" t="n"/>
    </row>
    <row r="13" ht="12" customHeight="1">
      <c r="B13" s="43" t="n"/>
      <c r="C13" s="63" t="n"/>
      <c r="D13" s="64" t="n"/>
      <c r="E13" s="46" t="n"/>
      <c r="F13" s="46" t="n"/>
      <c r="G13" s="47" t="n"/>
      <c r="I13" s="65" t="inlineStr">
        <is>
          <t>TAX(CIT)</t>
        </is>
      </c>
      <c r="J13" s="66" t="n">
        <v>0.1</v>
      </c>
      <c r="K13" s="56" t="inlineStr">
        <is>
          <t>2023,2024 Korea average</t>
        </is>
      </c>
      <c r="L13" s="65" t="n"/>
      <c r="M13" s="48" t="n"/>
      <c r="R13" s="8" t="n"/>
      <c r="S13" s="17" t="n"/>
      <c r="T13" s="8" t="n"/>
      <c r="U13" s="8" t="n"/>
      <c r="V13" s="8" t="n"/>
      <c r="W13" s="8" t="n"/>
      <c r="X13" s="8" t="n"/>
      <c r="Y13" s="8" t="n"/>
      <c r="Z13" s="8" t="n"/>
      <c r="AB13" s="18" t="n"/>
      <c r="AC13" s="18" t="n"/>
    </row>
    <row r="14" ht="12" customHeight="1">
      <c r="B14" s="67" t="n"/>
      <c r="C14" s="68" t="n"/>
      <c r="D14" s="45" t="n"/>
      <c r="E14" s="47" t="n"/>
      <c r="F14" s="46" t="n"/>
      <c r="G14" s="47" t="n"/>
      <c r="I14" s="56" t="inlineStr">
        <is>
          <t>FC(mech.)</t>
        </is>
      </c>
      <c r="J14" s="69" t="n">
        <v>0.12</v>
      </c>
      <c r="K14" s="70" t="n"/>
      <c r="L14" s="49" t="n"/>
      <c r="M14" s="56" t="n"/>
      <c r="R14" s="8" t="n"/>
      <c r="S14" s="17" t="n"/>
      <c r="T14" s="8" t="n"/>
      <c r="U14" s="8" t="n"/>
      <c r="V14" s="8" t="n"/>
      <c r="W14" s="8" t="n"/>
      <c r="X14" s="8" t="n"/>
      <c r="Y14" s="8" t="n"/>
      <c r="Z14" s="8" t="n"/>
      <c r="AB14" s="18" t="n"/>
      <c r="AC14" s="18" t="n"/>
    </row>
    <row r="15" ht="12" customHeight="1">
      <c r="B15" s="71" t="n"/>
      <c r="C15" s="44" t="n"/>
      <c r="D15" s="45" t="n"/>
      <c r="E15" s="47" t="n"/>
      <c r="F15" s="46" t="n"/>
      <c r="G15" s="46" t="n"/>
      <c r="I15" s="56" t="inlineStr">
        <is>
          <t>FC(EA)</t>
        </is>
      </c>
      <c r="J15" s="72" t="n"/>
      <c r="K15" s="73" t="n"/>
      <c r="L15" s="56" t="n"/>
      <c r="M15" s="56" t="n"/>
      <c r="R15" s="8" t="n"/>
      <c r="S15" s="17" t="n"/>
      <c r="T15" s="8" t="n"/>
      <c r="U15" s="8" t="n"/>
      <c r="V15" s="8" t="n"/>
      <c r="W15" s="8" t="n"/>
      <c r="X15" s="8" t="n"/>
      <c r="Y15" s="8" t="n"/>
      <c r="Z15" s="8" t="n"/>
      <c r="AB15" s="18" t="n"/>
      <c r="AC15" s="18" t="n"/>
    </row>
    <row r="16" ht="12" customHeight="1">
      <c r="B16" s="74" t="inlineStr">
        <is>
          <t>単価</t>
        </is>
      </c>
      <c r="C16" s="75" t="n">
        <v>120</v>
      </c>
      <c r="D16" s="76" t="n">
        <v>220</v>
      </c>
      <c r="E16" s="60" t="n"/>
      <c r="F16" s="77" t="inlineStr">
        <is>
          <t>CMDs - 220kJPY</t>
        </is>
      </c>
      <c r="G16" s="78" t="n"/>
      <c r="H16" s="79" t="n"/>
      <c r="I16" s="56" t="inlineStr">
        <is>
          <t>EBIT</t>
        </is>
      </c>
      <c r="J16" s="70" t="inlineStr">
        <is>
          <t>see below</t>
        </is>
      </c>
      <c r="K16" s="70" t="n"/>
      <c r="L16" s="49" t="n"/>
      <c r="M16" s="56" t="n"/>
      <c r="R16" s="8" t="n"/>
      <c r="S16" s="17" t="n"/>
      <c r="T16" s="8" t="n"/>
      <c r="U16" s="8" t="n"/>
      <c r="V16" s="8" t="n"/>
      <c r="W16" s="8" t="n"/>
      <c r="X16" s="8" t="n"/>
      <c r="Y16" s="8" t="n"/>
      <c r="Z16" s="8" t="n"/>
      <c r="AB16" s="18" t="n"/>
      <c r="AC16" s="18" t="n"/>
    </row>
    <row r="17" ht="12" customHeight="1">
      <c r="B17" s="80" t="n"/>
      <c r="C17" s="81" t="inlineStr">
        <is>
          <t>indivisual tax/MM</t>
        </is>
      </c>
      <c r="D17" s="82" t="inlineStr">
        <is>
          <t>kJPY/c-md</t>
        </is>
      </c>
      <c r="E17" s="82" t="inlineStr">
        <is>
          <t>kJPY/w-md</t>
        </is>
      </c>
      <c r="F17" s="83" t="n"/>
      <c r="G17" s="83" t="n"/>
      <c r="I17" s="56" t="inlineStr">
        <is>
          <t>Nego margin</t>
        </is>
      </c>
      <c r="J17" s="84" t="inlineStr">
        <is>
          <t>see below</t>
        </is>
      </c>
      <c r="K17" s="70" t="n"/>
      <c r="L17" s="49" t="n"/>
      <c r="M17" s="56" t="n"/>
      <c r="R17" s="8" t="n"/>
      <c r="S17" s="17" t="n"/>
      <c r="T17" s="8" t="n"/>
      <c r="U17" s="8" t="n"/>
      <c r="V17" s="8" t="n"/>
      <c r="W17" s="8" t="n"/>
      <c r="X17" s="8" t="n"/>
      <c r="Y17" s="8" t="n"/>
      <c r="Z17" s="8" t="n"/>
      <c r="AB17" s="18" t="n"/>
      <c r="AC17" s="18" t="n"/>
    </row>
    <row r="18" ht="12" customHeight="1">
      <c r="I18" s="85" t="inlineStr">
        <is>
          <t>RC（営業加算）</t>
        </is>
      </c>
      <c r="J18" s="86" t="n">
        <v>0</v>
      </c>
      <c r="K18" s="87" t="n"/>
      <c r="L18" s="88" t="n"/>
      <c r="M18" s="85" t="n"/>
      <c r="R18" s="8" t="n"/>
      <c r="S18" s="17" t="n"/>
      <c r="T18" s="8" t="n"/>
      <c r="U18" s="8" t="n"/>
      <c r="V18" s="8" t="n"/>
      <c r="W18" s="8" t="n"/>
      <c r="X18" s="8" t="n"/>
      <c r="Y18" s="8" t="n"/>
      <c r="Z18" s="8" t="n"/>
      <c r="AB18" s="18" t="n"/>
      <c r="AC18" s="18" t="n"/>
    </row>
    <row r="19" ht="12" customHeight="1">
      <c r="R19" s="8" t="n"/>
      <c r="S19" s="17" t="n"/>
      <c r="T19" s="8" t="n"/>
      <c r="U19" s="8" t="n"/>
      <c r="V19" s="8" t="n"/>
      <c r="W19" s="8" t="n"/>
      <c r="X19" s="8" t="n"/>
      <c r="Y19" s="8" t="n"/>
      <c r="Z19" s="8" t="n"/>
      <c r="AB19" s="18" t="n"/>
      <c r="AC19" s="18" t="n"/>
    </row>
    <row r="20" ht="12" customHeight="1">
      <c r="B20" s="12" t="inlineStr">
        <is>
          <t>3. Cost calculation（本体）</t>
        </is>
      </c>
      <c r="C20" s="89" t="n"/>
      <c r="D20" s="89" t="n"/>
      <c r="E20" s="89" t="n"/>
      <c r="F20" s="89" t="n"/>
      <c r="G20" s="8" t="n"/>
      <c r="H20" s="90" t="n"/>
      <c r="I20" s="89" t="n"/>
      <c r="J20" s="91" t="n"/>
      <c r="K20" s="89" t="n"/>
      <c r="L20" s="89" t="n"/>
      <c r="M20" s="89" t="n"/>
      <c r="N20" s="8" t="n"/>
      <c r="O20" s="8" t="n"/>
      <c r="T20" s="17" t="n"/>
      <c r="AB20" s="17" t="n"/>
      <c r="AC20" s="17" t="n"/>
    </row>
    <row r="21" ht="58.5" customHeight="1">
      <c r="B21" s="92" t="n"/>
      <c r="C21" s="93" t="inlineStr">
        <is>
          <t>Pure Manf. Cost</t>
        </is>
      </c>
      <c r="D21" s="94" t="inlineStr">
        <is>
          <t>indv. Tax</t>
        </is>
      </c>
      <c r="E21" s="95" t="inlineStr">
        <is>
          <t>CIT</t>
        </is>
      </c>
      <c r="F21" s="95" t="inlineStr">
        <is>
          <t>others</t>
        </is>
      </c>
      <c r="G21" s="95" t="inlineStr">
        <is>
          <t>RC</t>
        </is>
      </c>
      <c r="H21" s="94" t="inlineStr">
        <is>
          <t>Manf. Cost</t>
        </is>
      </c>
      <c r="I21" s="57" t="inlineStr">
        <is>
          <t>FC</t>
        </is>
      </c>
      <c r="J21" s="94" t="inlineStr">
        <is>
          <t>Total cost</t>
        </is>
      </c>
      <c r="K21" s="96" t="inlineStr">
        <is>
          <t>EBIT</t>
        </is>
      </c>
      <c r="L21" s="95" t="inlineStr">
        <is>
          <t>TotalCost+EBIT
(w/o nego)</t>
        </is>
      </c>
      <c r="M21" s="95" t="inlineStr">
        <is>
          <t>nego margin</t>
        </is>
      </c>
      <c r="N21" s="97" t="inlineStr">
        <is>
          <t>(2)
Offer price</t>
        </is>
      </c>
      <c r="O21" s="98" t="inlineStr">
        <is>
          <t>Remarks</t>
        </is>
      </c>
      <c r="P21" s="98" t="n"/>
      <c r="Q21" s="98" t="n"/>
      <c r="R21" s="17" t="n"/>
      <c r="T21" s="8" t="n"/>
      <c r="AA21" s="17" t="n"/>
      <c r="AC21" s="8" t="n"/>
    </row>
    <row r="22" ht="12" customHeight="1">
      <c r="A22" s="15" t="n"/>
      <c r="B22" s="92" t="n"/>
      <c r="C22" s="99" t="n"/>
      <c r="D22" s="99" t="n"/>
      <c r="E22" s="100" t="n"/>
      <c r="F22" s="100">
        <f>$J$8</f>
        <v/>
      </c>
      <c r="G22" s="100">
        <f>$J$18</f>
        <v/>
      </c>
      <c r="H22" s="99" t="n"/>
      <c r="I22" s="100">
        <f>$J$14</f>
        <v/>
      </c>
      <c r="J22" s="99" t="n"/>
      <c r="K22" s="100">
        <f>K26</f>
        <v/>
      </c>
      <c r="L22" s="100" t="n"/>
      <c r="M22" s="100">
        <f>M26/N26</f>
        <v/>
      </c>
      <c r="N22" s="101" t="n"/>
      <c r="O22" s="8" t="n"/>
      <c r="T22" s="8" t="n"/>
      <c r="AB22" s="8" t="n"/>
      <c r="AC22" s="8" t="n"/>
    </row>
    <row r="23" ht="16.5" customHeight="1">
      <c r="A23" s="15" t="n"/>
      <c r="B23" s="92" t="inlineStr">
        <is>
          <t>HWあり</t>
        </is>
      </c>
      <c r="C23" s="102" t="n"/>
      <c r="D23" s="46" t="n"/>
      <c r="E23" s="46" t="n"/>
      <c r="F23" s="46">
        <f>L23*$J$8</f>
        <v/>
      </c>
      <c r="G23" s="46">
        <f>N23*$G$22</f>
        <v/>
      </c>
      <c r="H23" s="46">
        <f>SUM(C23:G23)</f>
        <v/>
      </c>
      <c r="I23" s="46">
        <f>L23*$I$22</f>
        <v/>
      </c>
      <c r="J23" s="46">
        <f>H23+I23</f>
        <v/>
      </c>
      <c r="K23" s="103">
        <f>(L23-J23)/L23%</f>
        <v/>
      </c>
      <c r="L23" s="46">
        <f>L26-L24-L25</f>
        <v/>
      </c>
      <c r="M23" s="100">
        <f>(N23-L23)/N23</f>
        <v/>
      </c>
      <c r="N23" s="46">
        <f>N26-N24-N25</f>
        <v/>
      </c>
      <c r="O23" s="104" t="n"/>
      <c r="T23" s="8" t="n"/>
      <c r="AB23" s="8" t="n"/>
      <c r="AC23" s="8" t="n"/>
    </row>
    <row r="24">
      <c r="A24" s="15" t="n"/>
      <c r="B24" s="92" t="inlineStr">
        <is>
          <t>SV</t>
        </is>
      </c>
      <c r="C24" s="102" t="n"/>
      <c r="D24" s="46">
        <f>J12*C11</f>
        <v/>
      </c>
      <c r="E24" s="46">
        <f>L24*J13</f>
        <v/>
      </c>
      <c r="F24" s="46">
        <f>L24*$J$5</f>
        <v/>
      </c>
      <c r="G24" s="46">
        <f>N24*$G$22</f>
        <v/>
      </c>
      <c r="H24" s="46">
        <f>SUM(C24:G24)</f>
        <v/>
      </c>
      <c r="I24" s="46">
        <f>L24*$I$22</f>
        <v/>
      </c>
      <c r="J24" s="46">
        <f>H24+I24</f>
        <v/>
      </c>
      <c r="K24" s="103">
        <f>(L24-J24)/L24%</f>
        <v/>
      </c>
      <c r="L24" s="105">
        <f>D16*D11</f>
        <v/>
      </c>
      <c r="M24" s="100">
        <f>(N24-L24)/N24</f>
        <v/>
      </c>
      <c r="N24" s="106">
        <f>L24</f>
        <v/>
      </c>
      <c r="O24" s="17" t="n"/>
      <c r="T24" s="8" t="n"/>
      <c r="AB24" s="8" t="n"/>
      <c r="AC24" s="8" t="n"/>
    </row>
    <row r="25">
      <c r="A25" s="15" t="n"/>
      <c r="B25" s="92" t="inlineStr">
        <is>
          <t>推奨予備品</t>
        </is>
      </c>
      <c r="C25" s="106" t="n"/>
      <c r="D25" s="106" t="n"/>
      <c r="E25" s="106" t="n"/>
      <c r="F25" s="46" t="n"/>
      <c r="G25" s="46">
        <f>N25*$G$22</f>
        <v/>
      </c>
      <c r="H25" s="46" t="n"/>
      <c r="I25" s="46" t="n"/>
      <c r="J25" s="46" t="n"/>
      <c r="K25" s="103" t="n"/>
      <c r="L25" s="105" t="n"/>
      <c r="M25" s="100" t="n"/>
      <c r="N25" s="107" t="n"/>
      <c r="O25" s="17" t="n"/>
      <c r="T25" s="8" t="n"/>
      <c r="AB25" s="8" t="n"/>
      <c r="AC25" s="8" t="n"/>
    </row>
    <row r="26" ht="12" customHeight="1">
      <c r="A26" s="15" t="n"/>
      <c r="B26" s="92" t="inlineStr">
        <is>
          <t xml:space="preserve">  Total</t>
        </is>
      </c>
      <c r="C26" s="108">
        <f>SUM(C23:C25)</f>
        <v/>
      </c>
      <c r="D26" s="108">
        <f>SUM(D23:D25)</f>
        <v/>
      </c>
      <c r="E26" s="108">
        <f>SUM(E23:E25)</f>
        <v/>
      </c>
      <c r="F26" s="108">
        <f>SUM(F23:F25)</f>
        <v/>
      </c>
      <c r="G26" s="108">
        <f>SUM(G23:G24)</f>
        <v/>
      </c>
      <c r="H26" s="108">
        <f>SUM(H23:H25)</f>
        <v/>
      </c>
      <c r="I26" s="108">
        <f>SUM(I23:I25)</f>
        <v/>
      </c>
      <c r="J26" s="108">
        <f>SUM(J23:J25)</f>
        <v/>
      </c>
      <c r="K26" s="103">
        <f>(L26-J26)/L26</f>
        <v/>
      </c>
      <c r="L26" s="109" t="n"/>
      <c r="M26" s="108">
        <f>N26-L26</f>
        <v/>
      </c>
      <c r="N26" s="109" t="n"/>
      <c r="O26" s="17" t="n"/>
      <c r="T26" s="8" t="n"/>
      <c r="AB26" s="8" t="n"/>
      <c r="AC26" s="8" t="n"/>
    </row>
    <row r="27" ht="12" customHeight="1">
      <c r="A27" s="15" t="n"/>
      <c r="B27" s="110" t="n"/>
      <c r="C27" s="111" t="n"/>
      <c r="D27" s="111" t="n"/>
      <c r="E27" s="111" t="n"/>
      <c r="F27" s="111" t="n"/>
      <c r="G27" s="111" t="n"/>
      <c r="H27" s="111" t="n"/>
      <c r="I27" s="111" t="n"/>
      <c r="J27" s="111" t="n"/>
      <c r="K27" s="111" t="n"/>
      <c r="L27" s="111" t="n"/>
      <c r="M27" s="111" t="n"/>
      <c r="N27" s="111" t="n"/>
      <c r="O27" s="17" t="n"/>
      <c r="T27" s="8" t="n"/>
      <c r="AB27" s="8" t="n"/>
      <c r="AC27" s="8" t="n"/>
    </row>
    <row r="28" ht="12" customHeight="1">
      <c r="A28" s="112" t="n"/>
      <c r="B28" s="112" t="n"/>
      <c r="C28" s="113" t="n"/>
      <c r="D28" s="113" t="n"/>
      <c r="E28" s="114" t="n"/>
      <c r="F28" s="114" t="n"/>
      <c r="G28" s="114" t="n"/>
      <c r="H28" s="113" t="n"/>
      <c r="I28" s="114" t="n"/>
      <c r="J28" s="113" t="n"/>
      <c r="K28" s="114" t="n"/>
      <c r="L28" s="115" t="n"/>
      <c r="M28" s="114" t="n"/>
      <c r="N28" s="116" t="n"/>
      <c r="O28" s="117" t="n"/>
      <c r="P28" s="117" t="n"/>
      <c r="Q28" s="117" t="n"/>
      <c r="R28" s="117" t="n"/>
      <c r="S28" s="117" t="n"/>
      <c r="T28" s="117" t="n"/>
      <c r="U28" s="117" t="n"/>
      <c r="V28" s="117" t="n"/>
      <c r="W28" s="117" t="n"/>
      <c r="X28" s="117" t="n"/>
      <c r="Y28" s="117" t="n"/>
      <c r="Z28" s="117" t="n"/>
      <c r="AA28" s="117" t="n"/>
      <c r="AB28" s="117" t="n"/>
      <c r="AC28" s="117" t="n"/>
    </row>
    <row r="29" ht="12" customHeight="1">
      <c r="A29" s="112" t="n"/>
      <c r="B29" s="118" t="n"/>
      <c r="C29" s="119" t="n"/>
      <c r="D29" s="119" t="n"/>
      <c r="E29" s="119" t="n"/>
      <c r="F29" s="119" t="n"/>
      <c r="G29" s="119" t="n"/>
      <c r="H29" s="119" t="n"/>
      <c r="I29" s="119" t="n"/>
      <c r="J29" s="119" t="n"/>
      <c r="K29" s="119" t="n"/>
      <c r="L29" s="119" t="n"/>
      <c r="M29" s="119" t="n"/>
      <c r="N29" s="119" t="n"/>
      <c r="O29" s="120" t="n"/>
      <c r="P29" s="117" t="n"/>
      <c r="Q29" s="117" t="n"/>
      <c r="R29" s="117" t="n"/>
      <c r="S29" s="117" t="n"/>
      <c r="T29" s="117" t="n"/>
      <c r="U29" s="117" t="n"/>
      <c r="V29" s="117" t="n"/>
      <c r="W29" s="117" t="n"/>
      <c r="X29" s="117" t="n"/>
      <c r="Y29" s="117" t="n"/>
      <c r="Z29" s="117" t="n"/>
      <c r="AA29" s="117" t="n"/>
      <c r="AB29" s="117" t="n"/>
      <c r="AC29" s="117" t="n"/>
    </row>
    <row r="30" ht="12" customHeight="1">
      <c r="A30" s="112" t="n"/>
      <c r="B30" s="118" t="n"/>
      <c r="C30" s="119" t="n"/>
      <c r="D30" s="119" t="n"/>
      <c r="E30" s="119" t="n"/>
      <c r="F30" s="119" t="n"/>
      <c r="G30" s="119" t="n"/>
      <c r="H30" s="119" t="n"/>
      <c r="I30" s="119" t="n"/>
      <c r="J30" s="119" t="n"/>
      <c r="K30" s="119" t="n"/>
      <c r="L30" s="119" t="n"/>
      <c r="M30" s="119" t="n"/>
      <c r="N30" s="119" t="n"/>
      <c r="O30" s="119" t="n"/>
      <c r="P30" s="117" t="n"/>
      <c r="Q30" s="117" t="n"/>
      <c r="R30" s="117" t="n"/>
      <c r="S30" s="117" t="n"/>
      <c r="T30" s="117" t="n"/>
      <c r="U30" s="117" t="n"/>
      <c r="V30" s="117" t="n"/>
      <c r="W30" s="117" t="n"/>
      <c r="X30" s="117" t="n"/>
      <c r="Y30" s="117" t="n"/>
      <c r="Z30" s="117" t="n"/>
      <c r="AA30" s="117" t="n"/>
      <c r="AB30" s="117" t="n"/>
      <c r="AC30" s="117" t="n"/>
    </row>
    <row r="31" ht="12" customHeight="1">
      <c r="A31" s="112" t="n"/>
      <c r="B31" s="112" t="n"/>
      <c r="C31" s="121" t="n"/>
      <c r="D31" s="121" t="n"/>
      <c r="E31" s="121" t="n"/>
      <c r="F31" s="121" t="n"/>
      <c r="G31" s="121" t="n"/>
      <c r="H31" s="121" t="n"/>
      <c r="I31" s="121" t="n"/>
      <c r="J31" s="121" t="n"/>
      <c r="K31" s="121" t="n"/>
      <c r="L31" s="121" t="n"/>
      <c r="M31" s="121" t="n"/>
      <c r="N31" s="121" t="n"/>
      <c r="O31" s="119" t="n"/>
      <c r="P31" s="117" t="n"/>
      <c r="Q31" s="117" t="n"/>
      <c r="R31" s="117" t="n"/>
      <c r="S31" s="117" t="n"/>
      <c r="T31" s="117" t="n"/>
      <c r="U31" s="117" t="n"/>
      <c r="V31" s="117" t="n"/>
      <c r="W31" s="117" t="n"/>
      <c r="X31" s="117" t="n"/>
      <c r="Y31" s="117" t="n"/>
      <c r="Z31" s="117" t="n"/>
      <c r="AA31" s="117" t="n"/>
      <c r="AB31" s="117" t="n"/>
      <c r="AC31" s="117" t="n"/>
    </row>
    <row r="32" ht="12" customHeight="1">
      <c r="A32" s="112" t="n"/>
      <c r="B32" s="117" t="n"/>
      <c r="C32" s="121" t="n"/>
      <c r="D32" s="121" t="n"/>
      <c r="E32" s="121" t="n"/>
      <c r="F32" s="121" t="n"/>
      <c r="G32" s="121" t="n"/>
      <c r="H32" s="121" t="n"/>
      <c r="I32" s="121" t="n"/>
      <c r="J32" s="121" t="n"/>
      <c r="K32" s="121" t="n"/>
      <c r="L32" s="121" t="n"/>
      <c r="M32" s="121" t="n"/>
      <c r="N32" s="121" t="n"/>
      <c r="O32" s="119" t="n"/>
      <c r="P32" s="117" t="n"/>
      <c r="Q32" s="117" t="n"/>
      <c r="R32" s="117" t="n"/>
      <c r="S32" s="117" t="n"/>
      <c r="T32" s="117" t="n"/>
      <c r="U32" s="117" t="n"/>
      <c r="V32" s="117" t="n"/>
      <c r="W32" s="117" t="n"/>
      <c r="X32" s="117" t="n"/>
      <c r="Y32" s="117" t="n"/>
      <c r="Z32" s="117" t="n"/>
      <c r="AA32" s="117" t="n"/>
      <c r="AB32" s="117" t="n"/>
      <c r="AC32" s="117" t="n"/>
    </row>
    <row r="33">
      <c r="A33" s="117" t="n"/>
      <c r="B33" s="112" t="n"/>
      <c r="C33" s="113" t="n"/>
      <c r="D33" s="113" t="n"/>
      <c r="E33" s="114" t="n"/>
      <c r="F33" s="114" t="n"/>
      <c r="G33" s="114" t="n"/>
      <c r="H33" s="113" t="n"/>
      <c r="I33" s="114" t="n"/>
      <c r="J33" s="113" t="n"/>
      <c r="K33" s="114" t="n"/>
      <c r="L33" s="115" t="n"/>
      <c r="M33" s="114" t="n"/>
      <c r="N33" s="116" t="n"/>
      <c r="O33" s="119" t="n"/>
      <c r="P33" s="117" t="n"/>
      <c r="Q33" s="117" t="n"/>
      <c r="R33" s="117" t="n"/>
      <c r="S33" s="119" t="n"/>
      <c r="T33" s="117" t="n"/>
      <c r="U33" s="117" t="n"/>
      <c r="V33" s="117" t="n"/>
      <c r="W33" s="117" t="n"/>
      <c r="X33" s="117" t="n"/>
      <c r="Y33" s="117" t="n"/>
      <c r="Z33" s="117" t="n"/>
      <c r="AA33" s="119" t="n"/>
      <c r="AB33" s="119" t="n"/>
      <c r="AC33" s="117" t="n"/>
    </row>
    <row r="34">
      <c r="A34" s="117" t="n"/>
      <c r="B34" s="118" t="n"/>
      <c r="C34" s="119" t="n"/>
      <c r="D34" s="119" t="n"/>
      <c r="E34" s="119" t="n"/>
      <c r="F34" s="119" t="n"/>
      <c r="G34" s="119" t="n"/>
      <c r="H34" s="119" t="n"/>
      <c r="I34" s="119" t="n"/>
      <c r="J34" s="119" t="n"/>
      <c r="K34" s="119" t="n"/>
      <c r="L34" s="119" t="n"/>
      <c r="M34" s="119" t="n"/>
      <c r="N34" s="119" t="n"/>
      <c r="O34" s="119" t="n"/>
      <c r="P34" s="117" t="n"/>
      <c r="Q34" s="117" t="n"/>
      <c r="R34" s="117" t="n"/>
      <c r="S34" s="119" t="n"/>
      <c r="T34" s="117" t="n"/>
      <c r="U34" s="117" t="n"/>
      <c r="V34" s="117" t="n"/>
      <c r="W34" s="117" t="n"/>
      <c r="X34" s="117" t="n"/>
      <c r="Y34" s="117" t="n"/>
      <c r="Z34" s="117" t="n"/>
      <c r="AA34" s="119" t="n"/>
      <c r="AB34" s="119" t="n"/>
      <c r="AC34" s="117" t="n"/>
    </row>
    <row r="35">
      <c r="A35" s="117" t="n"/>
      <c r="B35" s="118" t="n"/>
      <c r="C35" s="119" t="n"/>
      <c r="D35" s="119" t="n"/>
      <c r="E35" s="119" t="n"/>
      <c r="F35" s="119" t="n"/>
      <c r="G35" s="119" t="n"/>
      <c r="H35" s="119" t="n"/>
      <c r="I35" s="119" t="n"/>
      <c r="J35" s="119" t="n"/>
      <c r="K35" s="119" t="n"/>
      <c r="L35" s="119" t="n"/>
      <c r="M35" s="119" t="n"/>
      <c r="N35" s="119" t="n"/>
      <c r="O35" s="119" t="n"/>
      <c r="P35" s="117" t="n"/>
      <c r="Q35" s="117" t="n"/>
      <c r="R35" s="117" t="n"/>
      <c r="S35" s="119" t="n"/>
      <c r="T35" s="117" t="n"/>
      <c r="U35" s="117" t="n"/>
      <c r="V35" s="117" t="n"/>
      <c r="W35" s="117" t="n"/>
      <c r="X35" s="117" t="n"/>
      <c r="Y35" s="117" t="n"/>
      <c r="Z35" s="117" t="n"/>
      <c r="AA35" s="119" t="n"/>
      <c r="AB35" s="119" t="n"/>
      <c r="AC35" s="117" t="n"/>
    </row>
    <row r="36">
      <c r="A36" s="117" t="n"/>
      <c r="B36" s="112" t="n"/>
      <c r="C36" s="121" t="n"/>
      <c r="D36" s="121" t="n"/>
      <c r="E36" s="121" t="n"/>
      <c r="F36" s="121" t="n"/>
      <c r="G36" s="121" t="n"/>
      <c r="H36" s="121" t="n"/>
      <c r="I36" s="121" t="n"/>
      <c r="J36" s="121" t="n"/>
      <c r="K36" s="121" t="n"/>
      <c r="L36" s="121" t="n"/>
      <c r="M36" s="121" t="n"/>
      <c r="N36" s="121" t="n"/>
      <c r="O36" s="119" t="n"/>
      <c r="P36" s="117" t="n"/>
      <c r="Q36" s="117" t="n"/>
      <c r="R36" s="117" t="n"/>
      <c r="S36" s="119" t="n"/>
      <c r="T36" s="117" t="n"/>
      <c r="U36" s="117" t="n"/>
      <c r="V36" s="117" t="n"/>
      <c r="W36" s="117" t="n"/>
      <c r="X36" s="117" t="n"/>
      <c r="Y36" s="117" t="n"/>
      <c r="Z36" s="117" t="n"/>
      <c r="AA36" s="119" t="n"/>
      <c r="AB36" s="119" t="n"/>
      <c r="AC36" s="117" t="n"/>
    </row>
    <row r="37">
      <c r="C37" s="122" t="n"/>
      <c r="D37" s="122" t="n"/>
      <c r="E37" s="122" t="n"/>
      <c r="F37" s="122" t="n"/>
      <c r="G37" s="122" t="n"/>
      <c r="H37" s="122" t="n"/>
      <c r="I37" s="123" t="n"/>
      <c r="J37" s="122" t="n"/>
      <c r="K37" s="123" t="n"/>
      <c r="L37" s="17" t="n"/>
      <c r="M37" s="123" t="n"/>
      <c r="N37" s="17" t="n"/>
      <c r="O37" s="17" t="n"/>
      <c r="S37" s="17" t="n"/>
      <c r="T37" s="8" t="n"/>
      <c r="AA37" s="17" t="n"/>
      <c r="AC37" s="8" t="n"/>
    </row>
    <row r="38">
      <c r="B38" s="8" t="inlineStr">
        <is>
          <t>4. SV MD　カウント方法</t>
        </is>
      </c>
      <c r="L38" s="17" t="n"/>
      <c r="N38" s="17" t="n"/>
      <c r="O38" s="124" t="n"/>
    </row>
    <row r="39">
      <c r="B39" s="23" t="n"/>
      <c r="C39" s="23" t="inlineStr">
        <is>
          <t>week</t>
        </is>
      </c>
      <c r="D39" s="23" t="inlineStr">
        <is>
          <t>実働</t>
        </is>
      </c>
      <c r="E39" s="23" t="inlineStr">
        <is>
          <t>休日</t>
        </is>
      </c>
      <c r="F39" s="23" t="inlineStr">
        <is>
          <t>移動</t>
        </is>
      </c>
      <c r="G39" s="125" t="inlineStr">
        <is>
          <t>計（C-MD）</t>
        </is>
      </c>
      <c r="L39" s="17" t="n"/>
      <c r="N39" s="17" t="n"/>
    </row>
    <row r="40">
      <c r="B40" s="56" t="n"/>
      <c r="C40" s="56" t="n"/>
      <c r="D40" s="56" t="n"/>
      <c r="E40" s="56" t="n"/>
      <c r="F40" s="56" t="n"/>
      <c r="G40" s="126" t="n"/>
      <c r="L40" s="17" t="n"/>
      <c r="M40" s="17" t="n"/>
      <c r="N40" s="17" t="n"/>
    </row>
    <row r="41">
      <c r="B41" s="56" t="n"/>
      <c r="C41" s="56" t="n"/>
      <c r="D41" s="56" t="n"/>
      <c r="E41" s="56" t="n"/>
      <c r="F41" s="56" t="n"/>
      <c r="G41" s="126" t="n"/>
      <c r="M41" s="17" t="n"/>
      <c r="N41" s="127" t="n"/>
    </row>
    <row r="42">
      <c r="B42" s="56" t="inlineStr">
        <is>
          <t>SV A</t>
        </is>
      </c>
      <c r="C42" s="56" t="n"/>
      <c r="D42" s="56" t="n"/>
      <c r="E42" s="56" t="n"/>
      <c r="F42" s="56" t="n"/>
      <c r="G42" s="126">
        <f>SUM(D42:F42)</f>
        <v/>
      </c>
      <c r="K42" s="123" t="inlineStr">
        <is>
          <t xml:space="preserve">PTJ Proposal </t>
        </is>
      </c>
      <c r="L42" s="8" t="n"/>
      <c r="M42" s="123" t="n"/>
      <c r="N42" s="17" t="n"/>
    </row>
    <row r="43">
      <c r="B43" s="56" t="inlineStr">
        <is>
          <t>SV B</t>
        </is>
      </c>
      <c r="C43" s="56" t="n"/>
      <c r="D43" s="56" t="n"/>
      <c r="E43" s="56" t="n"/>
      <c r="F43" s="56" t="n"/>
      <c r="G43" s="126">
        <f>SUM(D43:F43)</f>
        <v/>
      </c>
      <c r="K43" s="8" t="inlineStr">
        <is>
          <t>ME</t>
        </is>
      </c>
      <c r="L43" s="17">
        <f>N23</f>
        <v/>
      </c>
      <c r="M43" s="17" t="n"/>
      <c r="N43" s="17" t="n"/>
    </row>
    <row r="44">
      <c r="B44" s="128" t="n"/>
      <c r="C44" s="128" t="n"/>
      <c r="D44" s="56" t="n"/>
      <c r="E44" s="56" t="n"/>
      <c r="F44" s="56" t="n"/>
      <c r="G44" s="126" t="n"/>
      <c r="K44" s="8" t="inlineStr">
        <is>
          <t>SV</t>
        </is>
      </c>
      <c r="L44" s="17">
        <f>N24</f>
        <v/>
      </c>
      <c r="M44" s="8" t="n"/>
      <c r="N44" s="17" t="n"/>
    </row>
    <row r="45">
      <c r="B45" s="129" t="inlineStr">
        <is>
          <t>合計</t>
        </is>
      </c>
      <c r="C45" s="129" t="n"/>
      <c r="D45" s="129" t="n"/>
      <c r="E45" s="129" t="n"/>
      <c r="F45" s="129" t="n"/>
      <c r="G45" s="130">
        <f>SUM(G42:G44)</f>
        <v/>
      </c>
      <c r="K45" s="8" t="inlineStr">
        <is>
          <t>Total</t>
        </is>
      </c>
      <c r="L45" s="17">
        <f>L43+L44</f>
        <v/>
      </c>
      <c r="M45" s="17" t="n"/>
      <c r="N45" s="17" t="n"/>
    </row>
    <row r="46">
      <c r="M46" s="123" t="n"/>
      <c r="N46" s="8" t="n"/>
    </row>
    <row r="47">
      <c r="B47" s="8" t="inlineStr">
        <is>
          <t>5. 残業</t>
        </is>
      </c>
      <c r="C47" s="8" t="inlineStr">
        <is>
          <t>Offer</t>
        </is>
      </c>
      <c r="D47" s="8" t="inlineStr">
        <is>
          <t>for calculation</t>
        </is>
      </c>
      <c r="G47" s="131" t="n"/>
    </row>
    <row r="48">
      <c r="B48" s="132" t="inlineStr">
        <is>
          <t>月～金　C-md</t>
        </is>
      </c>
      <c r="C48" s="133">
        <f>D16*1000</f>
        <v/>
      </c>
      <c r="D48" s="133">
        <f>C48/8</f>
        <v/>
      </c>
      <c r="E48" s="132" t="inlineStr">
        <is>
          <t>/hour</t>
        </is>
      </c>
      <c r="G48" s="8" t="n"/>
      <c r="R48" s="17" t="n"/>
      <c r="T48" s="8" t="n"/>
      <c r="Z48" s="17" t="n"/>
      <c r="AA48" s="17" t="n"/>
      <c r="AB48" s="8" t="n"/>
      <c r="AC48" s="8" t="n"/>
    </row>
    <row r="49">
      <c r="B49" s="56" t="inlineStr">
        <is>
          <t>月～金　17時～22時</t>
        </is>
      </c>
      <c r="C49" s="46">
        <f>ROUNDUP(D49,-3)</f>
        <v/>
      </c>
      <c r="D49" s="46">
        <f>$D$48*E49</f>
        <v/>
      </c>
      <c r="E49" s="134" t="n">
        <v>1.25</v>
      </c>
      <c r="G49" s="8" t="n"/>
      <c r="R49" s="17" t="n"/>
      <c r="T49" s="8" t="n"/>
      <c r="Z49" s="17" t="n"/>
      <c r="AA49" s="17" t="n"/>
      <c r="AB49" s="8" t="n"/>
      <c r="AC49" s="8" t="n"/>
    </row>
    <row r="50">
      <c r="B50" s="56" t="inlineStr">
        <is>
          <t>月～金　22時以降</t>
        </is>
      </c>
      <c r="C50" s="46">
        <f>ROUNDUP(D50,-3)</f>
        <v/>
      </c>
      <c r="D50" s="46">
        <f>$D$48*E50</f>
        <v/>
      </c>
      <c r="E50" s="134" t="n">
        <v>1.5</v>
      </c>
      <c r="G50" s="8" t="n"/>
      <c r="R50" s="17" t="n"/>
      <c r="T50" s="8" t="n"/>
      <c r="Z50" s="17" t="n"/>
      <c r="AA50" s="17" t="n"/>
      <c r="AB50" s="8" t="n"/>
      <c r="AC50" s="8" t="n"/>
    </row>
    <row r="51">
      <c r="B51" s="56" t="inlineStr">
        <is>
          <t>土日、　8-17時</t>
        </is>
      </c>
      <c r="C51" s="46">
        <f>ROUNDUP(D51,-3)</f>
        <v/>
      </c>
      <c r="D51" s="46">
        <f>$D$48*E51</f>
        <v/>
      </c>
      <c r="E51" s="134" t="n">
        <v>1.5</v>
      </c>
      <c r="G51" s="8" t="n"/>
      <c r="R51" s="17" t="n"/>
      <c r="T51" s="8" t="n"/>
      <c r="Z51" s="17" t="n"/>
      <c r="AA51" s="17" t="n"/>
      <c r="AB51" s="8" t="n"/>
      <c r="AC51" s="8" t="n"/>
    </row>
    <row r="52">
      <c r="B52" s="56" t="inlineStr">
        <is>
          <t>土日、　17時～22時</t>
        </is>
      </c>
      <c r="C52" s="46">
        <f>ROUNDUP(D52,-3)</f>
        <v/>
      </c>
      <c r="D52" s="46">
        <f>$D$48*E52</f>
        <v/>
      </c>
      <c r="E52" s="134" t="n">
        <v>1.75</v>
      </c>
      <c r="G52" s="8" t="n"/>
      <c r="R52" s="17" t="n"/>
      <c r="T52" s="8" t="n"/>
      <c r="Z52" s="17" t="n"/>
      <c r="AA52" s="17" t="n"/>
      <c r="AB52" s="8" t="n"/>
      <c r="AC52" s="8" t="n"/>
    </row>
    <row r="53">
      <c r="B53" s="85" t="inlineStr">
        <is>
          <t>土日、　22時以降</t>
        </is>
      </c>
      <c r="C53" s="54">
        <f>ROUNDUP(D53,-3)</f>
        <v/>
      </c>
      <c r="D53" s="54">
        <f>$D$48*E53</f>
        <v/>
      </c>
      <c r="E53" s="135" t="n">
        <v>2</v>
      </c>
      <c r="G53" s="8" t="n"/>
      <c r="R53" s="17" t="n"/>
      <c r="T53" s="8" t="n"/>
      <c r="Z53" s="17" t="n"/>
      <c r="AA53" s="17" t="n"/>
      <c r="AB53" s="8" t="n"/>
      <c r="AC53" s="8" t="n"/>
    </row>
    <row r="55">
      <c r="O55" s="136" t="n"/>
    </row>
  </sheetData>
  <mergeCells count="1"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2026-06-08T10:18:18Z</dcterms:created>
  <dcterms:modified xmlns:dcterms="http://purl.org/dc/terms/" xmlns:xsi="http://www.w3.org/2001/XMLSchema-instance" xsi:type="dcterms:W3CDTF">2026-06-08T10:22:33Z</dcterms:modified>
</cp:coreProperties>
</file>
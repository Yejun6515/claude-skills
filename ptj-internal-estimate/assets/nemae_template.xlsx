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見積纏め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4">
    <font>
      <name val="Calibri"/>
      <family val="2"/>
      <color theme="1"/>
      <sz val="11"/>
      <scheme val="minor"/>
    </font>
    <font>
      <name val="Meiryo UI"/>
      <b val="1"/>
      <sz val="12"/>
    </font>
    <font>
      <name val="Meiryo UI"/>
      <b val="1"/>
      <sz val="11"/>
    </font>
    <font>
      <name val="Meiryo UI"/>
      <sz val="11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pivotButton="0" quotePrefix="0" xfId="0"/>
    <xf numFmtId="2" fontId="3" fillId="2" borderId="1" pivotButton="0" quotePrefix="0" xfId="0"/>
    <xf numFmtId="165" fontId="3" fillId="2" borderId="1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pivotButton="0" quotePrefix="0" xfId="0"/>
    <xf numFmtId="3" fontId="3" fillId="0" borderId="1" pivotButton="0" quotePrefix="0" xfId="0"/>
    <xf numFmtId="0" fontId="2" fillId="0" borderId="1" pivotButton="0" quotePrefix="0" xfId="0"/>
    <xf numFmtId="165" fontId="3" fillId="0" borderId="1" pivotButton="0" quotePrefix="0" xfId="0"/>
    <xf numFmtId="3" fontId="3" fillId="2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2" borderId="1" pivotButton="0" quotePrefix="0" xfId="0"/>
    <xf numFmtId="3" fontId="2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44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.6" customWidth="1" min="3" max="3"/>
    <col width="20.4" customWidth="1" min="4" max="4"/>
    <col width="9" customWidth="1" min="5" max="5"/>
    <col width="10.9" customWidth="1" min="6" max="6"/>
    <col width="11" customWidth="1" min="7" max="7"/>
    <col width="8" customWidth="1" min="8" max="8"/>
    <col width="17" customWidth="1" min="9" max="9"/>
    <col width="15.4" customWidth="1" min="10" max="10"/>
    <col width="15.1" customWidth="1" min="11" max="11"/>
    <col width="9" customWidth="1" min="12" max="12"/>
    <col width="26.1" customWidth="1" min="13" max="13"/>
    <col width="11" customWidth="1" min="14" max="14"/>
    <col width="12" customWidth="1" min="15" max="15"/>
    <col width="12" customWidth="1" min="16" max="16"/>
  </cols>
  <sheetData>
    <row r="1" ht="16.5" customHeight="1">
      <c r="B1" s="1" t="inlineStr">
        <is>
          <t>見積纏め  (Sales added)</t>
        </is>
      </c>
      <c r="P1" s="2" t="n"/>
    </row>
    <row r="2">
      <c r="B2" s="3" t="inlineStr">
        <is>
          <t>案件名</t>
        </is>
      </c>
      <c r="C2" s="4" t="n"/>
      <c r="P2" s="2" t="n"/>
    </row>
    <row r="3">
      <c r="B3" s="3" t="inlineStr">
        <is>
          <t>1. S/V md for PTJ use only</t>
        </is>
      </c>
      <c r="I3" s="3" t="inlineStr">
        <is>
          <t>2-1. Cost/Expenses</t>
        </is>
      </c>
      <c r="J3" s="5" t="inlineStr">
        <is>
          <t>PTJ</t>
        </is>
      </c>
      <c r="K3" s="3" t="inlineStr">
        <is>
          <t>remarks</t>
        </is>
      </c>
      <c r="M3" s="3" t="inlineStr">
        <is>
          <t>2-2. Exchange Rate</t>
        </is>
      </c>
    </row>
    <row r="4">
      <c r="B4" s="6" t="n"/>
      <c r="C4" s="7" t="inlineStr">
        <is>
          <t>Man-Month</t>
        </is>
      </c>
      <c r="D4" s="7" t="inlineStr">
        <is>
          <t>Man-Calendar day</t>
        </is>
      </c>
      <c r="M4" s="8" t="inlineStr">
        <is>
          <t>USD/JPY</t>
        </is>
      </c>
      <c r="N4" s="9" t="n"/>
    </row>
    <row r="5">
      <c r="B5" s="6" t="n"/>
      <c r="C5" s="8" t="inlineStr">
        <is>
          <t>Spec.</t>
        </is>
      </c>
      <c r="D5" s="8" t="n">
        <v>30.5</v>
      </c>
      <c r="E5" s="2" t="inlineStr">
        <is>
          <t>day/month</t>
        </is>
      </c>
      <c r="I5" s="8" t="inlineStr">
        <is>
          <t>PTKorea COMM</t>
        </is>
      </c>
      <c r="J5" s="10" t="n">
        <v>0.05</v>
      </c>
      <c r="K5" s="8" t="inlineStr">
        <is>
          <t>PTKorea (機械+SV)</t>
        </is>
      </c>
      <c r="M5" s="8" t="inlineStr">
        <is>
          <t>Euro/JPY</t>
        </is>
      </c>
      <c r="N5" s="9" t="n"/>
    </row>
    <row r="6">
      <c r="B6" s="8" t="inlineStr">
        <is>
          <t>RCM</t>
        </is>
      </c>
      <c r="C6" s="6" t="n"/>
      <c r="D6" s="11" t="inlineStr">
        <is>
          <t>C-md</t>
        </is>
      </c>
      <c r="E6" s="12" t="inlineStr">
        <is>
          <t>W-md</t>
        </is>
      </c>
      <c r="I6" s="8" t="inlineStr">
        <is>
          <t>insurance</t>
        </is>
      </c>
      <c r="J6" s="10" t="n">
        <v>0.005</v>
      </c>
      <c r="K6" s="8" t="inlineStr">
        <is>
          <t>機械 only</t>
        </is>
      </c>
      <c r="M6" s="8" t="inlineStr">
        <is>
          <t>USD/INR</t>
        </is>
      </c>
      <c r="N6" s="9" t="n"/>
    </row>
    <row r="7">
      <c r="B7" s="8" t="inlineStr">
        <is>
          <t>SV</t>
        </is>
      </c>
      <c r="C7" s="13">
        <f>D7/D5</f>
        <v/>
      </c>
      <c r="D7" s="14">
        <f>G36</f>
        <v/>
      </c>
      <c r="I7" s="8" t="inlineStr">
        <is>
          <t>bond charge</t>
        </is>
      </c>
      <c r="J7" s="10" t="n">
        <v>0.005</v>
      </c>
      <c r="K7" s="8" t="inlineStr">
        <is>
          <t>機械 only</t>
        </is>
      </c>
      <c r="M7" s="8" t="inlineStr">
        <is>
          <t>Euro/USD</t>
        </is>
      </c>
      <c r="N7" s="9" t="n"/>
    </row>
    <row r="8">
      <c r="B8" s="8" t="inlineStr">
        <is>
          <t>EA</t>
        </is>
      </c>
      <c r="C8" s="13">
        <f>D8/D5</f>
        <v/>
      </c>
      <c r="D8" s="14" t="n">
        <v>0</v>
      </c>
      <c r="I8" s="15" t="inlineStr">
        <is>
          <t xml:space="preserve"> total (others)</t>
        </is>
      </c>
      <c r="J8" s="16">
        <f>SUM(J5:J7)</f>
        <v/>
      </c>
      <c r="K8" s="6" t="n"/>
    </row>
    <row r="9">
      <c r="B9" s="6" t="n"/>
      <c r="C9" s="6" t="n"/>
      <c r="D9" s="6" t="n"/>
      <c r="I9" s="6" t="n"/>
      <c r="J9" s="6" t="n"/>
      <c r="K9" s="6" t="n"/>
    </row>
    <row r="10">
      <c r="B10" s="6" t="n"/>
      <c r="C10" s="6" t="n"/>
      <c r="D10" s="6" t="n"/>
      <c r="I10" s="15" t="inlineStr">
        <is>
          <t>TAX</t>
        </is>
      </c>
      <c r="J10" s="6" t="n"/>
      <c r="K10" s="6" t="n"/>
    </row>
    <row r="11">
      <c r="B11" s="15" t="inlineStr">
        <is>
          <t>合計</t>
        </is>
      </c>
      <c r="C11" s="13">
        <f>SUM(C7:C10)</f>
        <v/>
      </c>
      <c r="D11" s="14">
        <f>SUM(D7:D10)</f>
        <v/>
      </c>
      <c r="I11" s="8" t="inlineStr">
        <is>
          <t>SV indivisual Tax</t>
        </is>
      </c>
      <c r="J11" s="14">
        <f>C16</f>
        <v/>
      </c>
      <c r="K11" s="8" t="inlineStr">
        <is>
          <t>SV  kJPY/MM × Man-Month</t>
        </is>
      </c>
    </row>
    <row r="12">
      <c r="B12" s="6" t="n"/>
      <c r="C12" s="6" t="n"/>
      <c r="D12" s="6" t="n"/>
      <c r="I12" s="8" t="inlineStr">
        <is>
          <t>TAX(CIT)</t>
        </is>
      </c>
      <c r="J12" s="10" t="n">
        <v>0.1</v>
      </c>
      <c r="K12" s="8" t="inlineStr">
        <is>
          <t>SV only</t>
        </is>
      </c>
    </row>
    <row r="13">
      <c r="B13" s="6" t="n"/>
      <c r="C13" s="6" t="n"/>
      <c r="D13" s="6" t="n"/>
      <c r="I13" s="8" t="inlineStr">
        <is>
          <t>Local Tax Agent Fee</t>
        </is>
      </c>
      <c r="J13" s="10" t="n">
        <v>0.02</v>
      </c>
      <c r="K13" s="8" t="inlineStr">
        <is>
          <t>SV only</t>
        </is>
      </c>
    </row>
    <row r="14">
      <c r="B14" s="6" t="n"/>
      <c r="C14" s="6" t="n"/>
      <c r="D14" s="6" t="n"/>
      <c r="I14" s="8" t="inlineStr">
        <is>
          <t>FC (Function cost)</t>
        </is>
      </c>
      <c r="J14" s="10" t="n">
        <v>0.12</v>
      </c>
      <c r="K14" s="8" t="inlineStr">
        <is>
          <t>기본 12% (= まとめ R&amp;D+M&amp;S+G&amp;A 있으면 0)</t>
        </is>
      </c>
    </row>
    <row r="15">
      <c r="B15" s="6" t="n"/>
      <c r="C15" s="6" t="n"/>
      <c r="D15" s="6" t="n"/>
      <c r="I15" s="8" t="inlineStr">
        <is>
          <t>RC (Risk Conti)</t>
        </is>
      </c>
      <c r="J15" s="10" t="n">
        <v>0</v>
      </c>
      <c r="K15" s="8">
        <f> まとめ CONTI(WA/EX/PS)</f>
        <v/>
      </c>
    </row>
    <row r="16">
      <c r="B16" s="15" t="inlineStr">
        <is>
          <t>単価</t>
        </is>
      </c>
      <c r="C16" s="17" t="n">
        <v>120</v>
      </c>
      <c r="D16" s="17" t="n">
        <v>220</v>
      </c>
      <c r="E16" s="2" t="inlineStr">
        <is>
          <t>C16=indiv tax/MM, D16=kJPY/c-md</t>
        </is>
      </c>
      <c r="I16" s="8" t="inlineStr">
        <is>
          <t>EBIT</t>
        </is>
      </c>
      <c r="J16" s="8" t="inlineStr">
        <is>
          <t>see §3</t>
        </is>
      </c>
      <c r="K16" s="6" t="n"/>
    </row>
    <row r="17">
      <c r="C17" s="2" t="inlineStr">
        <is>
          <t>indivisual tax/MM</t>
        </is>
      </c>
      <c r="D17" s="2" t="inlineStr">
        <is>
          <t>kJPY/c-md</t>
        </is>
      </c>
      <c r="E17" s="2" t="inlineStr">
        <is>
          <t>kJPY/w-md</t>
        </is>
      </c>
    </row>
    <row r="20">
      <c r="B20" s="3" t="inlineStr">
        <is>
          <t>3. Cost calculation（本体）</t>
        </is>
      </c>
    </row>
    <row r="21" ht="31.5" customHeight="1">
      <c r="B21" s="6" t="n"/>
      <c r="C21" s="18" t="inlineStr">
        <is>
          <t>Pure Manf.
Cost</t>
        </is>
      </c>
      <c r="D21" s="18" t="inlineStr">
        <is>
          <t>indv. Tax</t>
        </is>
      </c>
      <c r="E21" s="18" t="inlineStr">
        <is>
          <t>CIT</t>
        </is>
      </c>
      <c r="F21" s="18" t="inlineStr">
        <is>
          <t>Local Tax
Agent</t>
        </is>
      </c>
      <c r="G21" s="18" t="inlineStr">
        <is>
          <t>others</t>
        </is>
      </c>
      <c r="H21" s="18" t="inlineStr">
        <is>
          <t>RC</t>
        </is>
      </c>
      <c r="I21" s="18" t="inlineStr">
        <is>
          <t>Manf. Cost</t>
        </is>
      </c>
      <c r="J21" s="18" t="inlineStr">
        <is>
          <t>FC</t>
        </is>
      </c>
      <c r="K21" s="18" t="inlineStr">
        <is>
          <t>Total cost</t>
        </is>
      </c>
      <c r="L21" s="18" t="inlineStr">
        <is>
          <t>EBIT</t>
        </is>
      </c>
      <c r="M21" s="18" t="inlineStr">
        <is>
          <t>TotalCost+EBIT
(w/o nego)</t>
        </is>
      </c>
      <c r="N21" s="18" t="inlineStr">
        <is>
          <t>nego margin</t>
        </is>
      </c>
      <c r="O21" s="18" t="inlineStr">
        <is>
          <t>(2)
Offer price</t>
        </is>
      </c>
      <c r="P21" s="18" t="inlineStr">
        <is>
          <t>Remarks</t>
        </is>
      </c>
    </row>
    <row r="22">
      <c r="B22" s="15" t="inlineStr">
        <is>
          <t>機械</t>
        </is>
      </c>
      <c r="C22" s="17" t="n">
        <v>0</v>
      </c>
      <c r="D22" s="6" t="n"/>
      <c r="E22" s="6" t="n"/>
      <c r="F22" s="6" t="n"/>
      <c r="G22" s="14">
        <f>($J$5+$J$6+$J$7)*M22</f>
        <v/>
      </c>
      <c r="H22" s="6" t="n"/>
      <c r="I22" s="14">
        <f>SUM(C22:H22)</f>
        <v/>
      </c>
      <c r="J22" s="14">
        <f>$J$14*M22</f>
        <v/>
      </c>
      <c r="K22" s="14">
        <f>I22+J22</f>
        <v/>
      </c>
      <c r="L22" s="16">
        <f>(M22-K22)/M22</f>
        <v/>
      </c>
      <c r="M22" s="14">
        <f>M25-M23-M24</f>
        <v/>
      </c>
      <c r="N22" s="16">
        <f>(O22-M22)/O22</f>
        <v/>
      </c>
      <c r="O22" s="14">
        <f>O25-O23-O24</f>
        <v/>
      </c>
      <c r="P22" s="6" t="n"/>
    </row>
    <row r="23">
      <c r="B23" s="15" t="inlineStr">
        <is>
          <t>SV</t>
        </is>
      </c>
      <c r="C23" s="17" t="n">
        <v>0</v>
      </c>
      <c r="D23" s="14">
        <f>C16*C11</f>
        <v/>
      </c>
      <c r="E23" s="14">
        <f>$J$12*M23</f>
        <v/>
      </c>
      <c r="F23" s="14">
        <f>$J$13*M23</f>
        <v/>
      </c>
      <c r="G23" s="14">
        <f>$J$5*M23</f>
        <v/>
      </c>
      <c r="H23" s="6" t="n"/>
      <c r="I23" s="14">
        <f>SUM(C23:H23)</f>
        <v/>
      </c>
      <c r="J23" s="14">
        <f>$J$14*M23</f>
        <v/>
      </c>
      <c r="K23" s="14">
        <f>I23+J23</f>
        <v/>
      </c>
      <c r="L23" s="16">
        <f>(M23-K23)/M23</f>
        <v/>
      </c>
      <c r="M23" s="14">
        <f>D16*D11</f>
        <v/>
      </c>
      <c r="N23" s="16">
        <f>(O23-M23)/O23</f>
        <v/>
      </c>
      <c r="O23" s="14">
        <f>M23</f>
        <v/>
      </c>
      <c r="P23" s="6" t="n"/>
    </row>
    <row r="24">
      <c r="B24" s="15" t="inlineStr">
        <is>
          <t>推奨予備品</t>
        </is>
      </c>
      <c r="C24" s="17" t="n">
        <v>0</v>
      </c>
      <c r="D24" s="6" t="n"/>
      <c r="E24" s="6" t="n"/>
      <c r="F24" s="6" t="n"/>
      <c r="G24" s="6" t="n"/>
      <c r="H24" s="6" t="n"/>
      <c r="I24" s="14">
        <f>SUM(C24:H24)</f>
        <v/>
      </c>
      <c r="J24" s="6" t="n"/>
      <c r="K24" s="14">
        <f>I24</f>
        <v/>
      </c>
      <c r="L24" s="6" t="n"/>
      <c r="M24" s="14" t="n">
        <v>0</v>
      </c>
      <c r="N24" s="6" t="n"/>
      <c r="O24" s="14">
        <f>M24</f>
        <v/>
      </c>
      <c r="P24" s="6" t="n"/>
    </row>
    <row r="25">
      <c r="B25" s="15" t="inlineStr">
        <is>
          <t xml:space="preserve">  Total</t>
        </is>
      </c>
      <c r="C25" s="14">
        <f>SUM(C22:C24)</f>
        <v/>
      </c>
      <c r="D25" s="14">
        <f>SUM(D22:D24)</f>
        <v/>
      </c>
      <c r="E25" s="14">
        <f>SUM(E22:E24)</f>
        <v/>
      </c>
      <c r="F25" s="14">
        <f>SUM(F22:F24)</f>
        <v/>
      </c>
      <c r="G25" s="14">
        <f>SUM(G22:G24)</f>
        <v/>
      </c>
      <c r="H25" s="14">
        <f>SUM(H22:H24)</f>
        <v/>
      </c>
      <c r="I25" s="14">
        <f>SUM(I22:I24)</f>
        <v/>
      </c>
      <c r="J25" s="14">
        <f>SUM(J22:J24)</f>
        <v/>
      </c>
      <c r="K25" s="14">
        <f>SUM(K22:K24)</f>
        <v/>
      </c>
      <c r="L25" s="10" t="n">
        <v>0.08</v>
      </c>
      <c r="M25" s="14">
        <f>(C22+K23+K24-($J$5+$J$6+$J$7+$J$14)*(M23+M24))/(1-L25-($J$5+$J$6+$J$7+$J$14))</f>
        <v/>
      </c>
      <c r="N25" s="16">
        <f>(O25-M25)/O25</f>
        <v/>
      </c>
      <c r="O25" s="17" t="n"/>
      <c r="P25" s="6" t="n"/>
    </row>
    <row r="27">
      <c r="B27" s="3" t="inlineStr">
        <is>
          <t>4. SV MD count（移動含み=見積MD, 実働=契約MD）</t>
        </is>
      </c>
    </row>
    <row r="28">
      <c r="B28" s="6" t="n"/>
      <c r="C28" s="18" t="inlineStr">
        <is>
          <t>week</t>
        </is>
      </c>
      <c r="D28" s="18" t="inlineStr">
        <is>
          <t>実働</t>
        </is>
      </c>
      <c r="E28" s="18" t="inlineStr">
        <is>
          <t>休日</t>
        </is>
      </c>
      <c r="F28" s="18" t="inlineStr">
        <is>
          <t>移動</t>
        </is>
      </c>
      <c r="G28" s="18" t="inlineStr">
        <is>
          <t>計(C-MD)</t>
        </is>
      </c>
    </row>
    <row r="29">
      <c r="B29" s="8" t="inlineStr">
        <is>
          <t>SV A</t>
        </is>
      </c>
      <c r="C29" s="6" t="n"/>
      <c r="D29" s="19" t="n"/>
      <c r="E29" s="19" t="n"/>
      <c r="F29" s="19" t="n"/>
      <c r="G29" s="14">
        <f>SUM(D29:F29)</f>
        <v/>
      </c>
    </row>
    <row r="30">
      <c r="B30" s="8" t="inlineStr">
        <is>
          <t>SV B</t>
        </is>
      </c>
      <c r="C30" s="6" t="n"/>
      <c r="D30" s="19" t="n"/>
      <c r="E30" s="19" t="n"/>
      <c r="F30" s="19" t="n"/>
      <c r="G30" s="14">
        <f>SUM(D30:F30)</f>
        <v/>
      </c>
    </row>
    <row r="31">
      <c r="B31" s="8" t="inlineStr">
        <is>
          <t>SV C</t>
        </is>
      </c>
      <c r="C31" s="6" t="n"/>
      <c r="D31" s="19" t="n"/>
      <c r="E31" s="19" t="n"/>
      <c r="F31" s="19" t="n"/>
      <c r="G31" s="14">
        <f>SUM(D31:F31)</f>
        <v/>
      </c>
    </row>
    <row r="32">
      <c r="B32" s="8" t="inlineStr">
        <is>
          <t>SV D</t>
        </is>
      </c>
      <c r="C32" s="6" t="n"/>
      <c r="D32" s="19" t="n"/>
      <c r="E32" s="19" t="n"/>
      <c r="F32" s="19" t="n"/>
      <c r="G32" s="14">
        <f>SUM(D32:F32)</f>
        <v/>
      </c>
    </row>
    <row r="33">
      <c r="B33" s="8" t="inlineStr">
        <is>
          <t>SV E</t>
        </is>
      </c>
      <c r="C33" s="6" t="n"/>
      <c r="D33" s="19" t="n"/>
      <c r="E33" s="19" t="n"/>
      <c r="F33" s="19" t="n"/>
      <c r="G33" s="14">
        <f>SUM(D33:F33)</f>
        <v/>
      </c>
    </row>
    <row r="34">
      <c r="B34" s="8" t="inlineStr">
        <is>
          <t>SV F</t>
        </is>
      </c>
      <c r="C34" s="6" t="n"/>
      <c r="D34" s="19" t="n"/>
      <c r="E34" s="19" t="n"/>
      <c r="F34" s="19" t="n"/>
      <c r="G34" s="14">
        <f>SUM(D34:F34)</f>
        <v/>
      </c>
    </row>
    <row r="35">
      <c r="B35" s="6" t="n"/>
      <c r="C35" s="6" t="n"/>
      <c r="D35" s="6" t="n"/>
      <c r="E35" s="6" t="n"/>
      <c r="F35" s="6" t="n"/>
      <c r="G35" s="6" t="n"/>
    </row>
    <row r="36">
      <c r="B36" s="15" t="inlineStr">
        <is>
          <t>合計</t>
        </is>
      </c>
      <c r="C36" s="6" t="n"/>
      <c r="D36" s="6" t="n"/>
      <c r="E36" s="6" t="n"/>
      <c r="F36" s="6" t="n"/>
      <c r="G36" s="20">
        <f>SUM(G29:G34)</f>
        <v/>
      </c>
    </row>
    <row r="38">
      <c r="B38" s="15" t="inlineStr">
        <is>
          <t>5. 残業 (overtime)</t>
        </is>
      </c>
      <c r="C38" s="7" t="inlineStr">
        <is>
          <t>Offer</t>
        </is>
      </c>
      <c r="D38" s="7" t="inlineStr">
        <is>
          <t>for calc</t>
        </is>
      </c>
      <c r="E38" s="6" t="n"/>
    </row>
    <row r="39">
      <c r="B39" s="8" t="inlineStr">
        <is>
          <t>月～金  C-md</t>
        </is>
      </c>
      <c r="C39" s="14">
        <f>D16*1000</f>
        <v/>
      </c>
      <c r="D39" s="14">
        <f>C39/8</f>
        <v/>
      </c>
      <c r="E39" s="8" t="inlineStr">
        <is>
          <t>/hour</t>
        </is>
      </c>
    </row>
    <row r="40">
      <c r="B40" s="8" t="inlineStr">
        <is>
          <t>月～金  17時～22時</t>
        </is>
      </c>
      <c r="C40" s="14">
        <f>ROUNDUP(D40,-3)</f>
        <v/>
      </c>
      <c r="D40" s="14">
        <f>$D$39*E40</f>
        <v/>
      </c>
      <c r="E40" s="21" t="n">
        <v>1.25</v>
      </c>
    </row>
    <row r="41">
      <c r="B41" s="8" t="inlineStr">
        <is>
          <t>月～金  22時以降</t>
        </is>
      </c>
      <c r="C41" s="14">
        <f>ROUNDUP(D41,-3)</f>
        <v/>
      </c>
      <c r="D41" s="14">
        <f>$D$39*E41</f>
        <v/>
      </c>
      <c r="E41" s="21" t="n">
        <v>1.5</v>
      </c>
    </row>
    <row r="42">
      <c r="B42" s="8" t="inlineStr">
        <is>
          <t>土日  8-17時</t>
        </is>
      </c>
      <c r="C42" s="14">
        <f>ROUNDUP(D42,-3)</f>
        <v/>
      </c>
      <c r="D42" s="14">
        <f>$D$39*E42</f>
        <v/>
      </c>
      <c r="E42" s="21" t="n">
        <v>1.5</v>
      </c>
    </row>
    <row r="43">
      <c r="B43" s="8" t="inlineStr">
        <is>
          <t>土日  17時～22時</t>
        </is>
      </c>
      <c r="C43" s="14">
        <f>ROUNDUP(D43,-3)</f>
        <v/>
      </c>
      <c r="D43" s="14">
        <f>$D$39*E43</f>
        <v/>
      </c>
      <c r="E43" s="21" t="n">
        <v>1.75</v>
      </c>
    </row>
    <row r="44">
      <c r="B44" s="8" t="inlineStr">
        <is>
          <t>土日  22時以降</t>
        </is>
      </c>
      <c r="C44" s="14">
        <f>ROUNDUP(D44,-3)</f>
        <v/>
      </c>
      <c r="D44" s="14">
        <f>$D$39*E44</f>
        <v/>
      </c>
      <c r="E44" s="2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2026-06-19T10:15:55Z</dcterms:created>
  <dcterms:modified xmlns:dcterms="http://purl.org/dc/terms/" xmlns:xsi="http://www.w3.org/2001/XMLSchema-instance" xsi:type="dcterms:W3CDTF">2026-06-19T10:15:55Z</dcterms:modified>
</cp:coreProperties>
</file>
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見積纏め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;[Red]\-#,##0.0"/>
    <numFmt numFmtId="165" formatCode="0.0%"/>
    <numFmt numFmtId="166" formatCode="#,##0.0"/>
    <numFmt numFmtId="167" formatCode="#,##0_ "/>
  </numFmts>
  <fonts count="18">
    <font>
      <name val="Calibri"/>
      <family val="2"/>
      <color theme="1"/>
      <sz val="11"/>
      <scheme val="minor"/>
    </font>
    <font>
      <name val="Arial"/>
      <family val="2"/>
      <b val="1"/>
      <sz val="12"/>
      <u val="double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9"/>
    </font>
    <font>
      <name val="Arial"/>
      <family val="2"/>
      <b val="1"/>
      <color rgb="FFFF0000"/>
      <sz val="12"/>
      <u val="single"/>
    </font>
    <font>
      <name val="Arial"/>
      <family val="2"/>
      <b val="1"/>
      <sz val="11"/>
      <u val="double"/>
    </font>
    <font>
      <name val="Arial"/>
      <family val="2"/>
      <sz val="9"/>
    </font>
    <font>
      <name val="Arial"/>
      <family val="2"/>
      <b val="1"/>
      <color rgb="FFFF0000"/>
      <sz val="10"/>
    </font>
    <font>
      <name val="Arial"/>
      <family val="2"/>
      <b val="1"/>
      <sz val="11"/>
    </font>
    <font>
      <name val="Arial"/>
      <family val="2"/>
      <color rgb="FFFF0000"/>
      <sz val="8"/>
    </font>
    <font>
      <name val="ＭＳ Ｐゴシック"/>
      <charset val="128"/>
      <family val="3"/>
      <sz val="11"/>
    </font>
    <font>
      <name val="Arial"/>
      <charset val="128"/>
      <family val="2"/>
      <sz val="10"/>
    </font>
    <font>
      <name val="Arial"/>
      <family val="2"/>
      <color rgb="FFFF0000"/>
      <sz val="10"/>
    </font>
    <font>
      <name val="Arial"/>
      <family val="2"/>
      <strike val="1"/>
      <sz val="10"/>
    </font>
    <font>
      <name val="Arial"/>
      <family val="2"/>
      <b val="1"/>
      <color rgb="FF0070C0"/>
      <sz val="10"/>
    </font>
    <font>
      <name val="Arial"/>
      <family val="2"/>
      <color rgb="FF0070C0"/>
      <sz val="10"/>
    </font>
    <font>
      <name val="Malgun Gothic"/>
      <charset val="129"/>
      <family val="3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C4D79B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/>
    </xf>
    <xf numFmtId="14" fontId="2" fillId="0" borderId="0" applyAlignment="1" pivotButton="0" quotePrefix="0" xfId="0">
      <alignment horizontal="right" vertical="center"/>
    </xf>
    <xf numFmtId="0" fontId="6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38" fontId="2" fillId="0" borderId="0" applyAlignment="1" pivotButton="0" quotePrefix="0" xfId="0">
      <alignment vertical="center"/>
    </xf>
    <xf numFmtId="38" fontId="3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38" fontId="2" fillId="0" borderId="2" applyAlignment="1" pivotButton="0" quotePrefix="0" xfId="0">
      <alignment vertical="center"/>
    </xf>
    <xf numFmtId="38" fontId="2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2" fillId="0" borderId="4" applyAlignment="1" pivotButton="0" quotePrefix="0" xfId="0">
      <alignment vertical="center"/>
    </xf>
    <xf numFmtId="0" fontId="2" fillId="0" borderId="4" applyAlignment="1" pivotButton="0" quotePrefix="0" xfId="0">
      <alignment horizontal="center" vertical="center"/>
    </xf>
    <xf numFmtId="0" fontId="2" fillId="0" borderId="5" applyAlignment="1" pivotButton="0" quotePrefix="0" xfId="0">
      <alignment vertical="center"/>
    </xf>
    <xf numFmtId="0" fontId="2" fillId="0" borderId="5" applyAlignment="1" pivotButton="0" quotePrefix="0" xfId="0">
      <alignment horizontal="right" vertical="center"/>
    </xf>
    <xf numFmtId="0" fontId="2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right" vertical="center"/>
    </xf>
    <xf numFmtId="0" fontId="7" fillId="0" borderId="6" applyAlignment="1" pivotButton="0" quotePrefix="0" xfId="0">
      <alignment horizontal="center" vertical="center"/>
    </xf>
    <xf numFmtId="0" fontId="12" fillId="0" borderId="7" applyAlignment="1" pivotButton="0" quotePrefix="0" xfId="0">
      <alignment vertical="center"/>
    </xf>
    <xf numFmtId="10" fontId="12" fillId="3" borderId="7" applyAlignment="1" pivotButton="0" quotePrefix="0" xfId="0">
      <alignment vertical="center"/>
    </xf>
    <xf numFmtId="0" fontId="2" fillId="0" borderId="8" applyAlignment="1" pivotButton="0" quotePrefix="0" xfId="0">
      <alignment horizontal="left" vertical="center"/>
    </xf>
    <xf numFmtId="164" fontId="13" fillId="0" borderId="8" applyAlignment="1" pivotButton="0" quotePrefix="0" xfId="0">
      <alignment horizontal="center" vertical="center"/>
    </xf>
    <xf numFmtId="38" fontId="14" fillId="0" borderId="8" applyAlignment="1" pivotButton="0" quotePrefix="0" xfId="0">
      <alignment horizontal="center" vertical="center"/>
    </xf>
    <xf numFmtId="164" fontId="2" fillId="0" borderId="8" applyAlignment="1" pivotButton="0" quotePrefix="0" xfId="0">
      <alignment horizontal="center" vertical="center"/>
    </xf>
    <xf numFmtId="38" fontId="2" fillId="0" borderId="8" applyAlignment="1" pivotButton="0" quotePrefix="0" xfId="0">
      <alignment horizontal="center" vertical="center"/>
    </xf>
    <xf numFmtId="0" fontId="2" fillId="0" borderId="4" applyAlignment="1" pivotButton="0" quotePrefix="0" xfId="0">
      <alignment horizontal="left" vertical="center"/>
    </xf>
    <xf numFmtId="164" fontId="2" fillId="0" borderId="4" applyAlignment="1" pivotButton="0" quotePrefix="0" xfId="0">
      <alignment horizontal="right" vertical="center"/>
    </xf>
    <xf numFmtId="164" fontId="2" fillId="0" borderId="4" applyAlignment="1" pivotButton="0" quotePrefix="0" xfId="0">
      <alignment vertical="center"/>
    </xf>
    <xf numFmtId="38" fontId="2" fillId="0" borderId="4" applyAlignment="1" pivotButton="0" quotePrefix="0" xfId="0">
      <alignment vertical="center"/>
    </xf>
    <xf numFmtId="38" fontId="7" fillId="0" borderId="4" applyAlignment="1" pivotButton="0" quotePrefix="0" xfId="0">
      <alignment vertical="center"/>
    </xf>
    <xf numFmtId="40" fontId="2" fillId="0" borderId="5" applyAlignment="1" pivotButton="0" quotePrefix="0" xfId="0">
      <alignment vertical="center"/>
    </xf>
    <xf numFmtId="0" fontId="2" fillId="0" borderId="7" applyAlignment="1" pivotButton="0" quotePrefix="0" xfId="0">
      <alignment horizontal="left" vertical="center"/>
    </xf>
    <xf numFmtId="164" fontId="2" fillId="0" borderId="7" applyAlignment="1" pivotButton="0" quotePrefix="0" xfId="0">
      <alignment horizontal="right" vertical="center"/>
    </xf>
    <xf numFmtId="164" fontId="2" fillId="0" borderId="7" applyAlignment="1" pivotButton="0" quotePrefix="0" xfId="0">
      <alignment vertical="center"/>
    </xf>
    <xf numFmtId="38" fontId="2" fillId="0" borderId="7" applyAlignment="1" pivotButton="0" quotePrefix="0" xfId="0">
      <alignment vertical="center"/>
    </xf>
    <xf numFmtId="38" fontId="7" fillId="0" borderId="7" applyAlignment="1" pivotButton="0" quotePrefix="0" xfId="0">
      <alignment vertical="center"/>
    </xf>
    <xf numFmtId="0" fontId="3" fillId="0" borderId="7" applyAlignment="1" pivotButton="0" quotePrefix="0" xfId="0">
      <alignment vertical="center"/>
    </xf>
    <xf numFmtId="10" fontId="2" fillId="0" borderId="7" applyAlignment="1" pivotButton="0" quotePrefix="0" xfId="0">
      <alignment vertical="center"/>
    </xf>
    <xf numFmtId="10" fontId="3" fillId="0" borderId="7" applyAlignment="1" pivotButton="0" quotePrefix="0" xfId="0">
      <alignment vertical="center"/>
    </xf>
    <xf numFmtId="0" fontId="2" fillId="0" borderId="9" applyAlignment="1" pivotButton="0" quotePrefix="0" xfId="0">
      <alignment horizontal="left" vertical="center"/>
    </xf>
    <xf numFmtId="164" fontId="2" fillId="0" borderId="9" applyAlignment="1" pivotButton="0" quotePrefix="0" xfId="0">
      <alignment horizontal="right" vertical="center"/>
    </xf>
    <xf numFmtId="164" fontId="2" fillId="0" borderId="9" applyAlignment="1" pivotButton="0" quotePrefix="0" xfId="0">
      <alignment vertical="center"/>
    </xf>
    <xf numFmtId="38" fontId="2" fillId="0" borderId="9" applyAlignment="1" pivotButton="0" quotePrefix="0" xfId="0">
      <alignment vertical="center"/>
    </xf>
    <xf numFmtId="38" fontId="7" fillId="0" borderId="9" applyAlignment="1" pivotButton="0" quotePrefix="0" xfId="0">
      <alignment vertical="center"/>
    </xf>
    <xf numFmtId="0" fontId="2" fillId="0" borderId="7" applyAlignment="1" pivotButton="0" quotePrefix="0" xfId="0">
      <alignment vertical="center"/>
    </xf>
    <xf numFmtId="0" fontId="2" fillId="0" borderId="5" applyAlignment="1" pivotButton="0" quotePrefix="0" xfId="0">
      <alignment horizontal="center" vertical="center"/>
    </xf>
    <xf numFmtId="164" fontId="2" fillId="0" borderId="5" applyAlignment="1" pivotButton="0" quotePrefix="0" xfId="0">
      <alignment horizontal="right" vertical="center"/>
    </xf>
    <xf numFmtId="38" fontId="2" fillId="0" borderId="5" applyAlignment="1" pivotButton="0" quotePrefix="0" xfId="0">
      <alignment vertical="center"/>
    </xf>
    <xf numFmtId="38" fontId="7" fillId="0" borderId="5" applyAlignment="1" pivotButton="0" quotePrefix="0" xfId="0">
      <alignment vertical="center"/>
    </xf>
    <xf numFmtId="165" fontId="2" fillId="3" borderId="7" applyAlignment="1" pivotButton="0" quotePrefix="0" xfId="0">
      <alignment horizontal="right" vertical="center"/>
    </xf>
    <xf numFmtId="0" fontId="2" fillId="3" borderId="7" applyAlignment="1" pivotButton="0" quotePrefix="0" xfId="0">
      <alignment vertical="center"/>
    </xf>
    <xf numFmtId="164" fontId="13" fillId="0" borderId="7" applyAlignment="1" pivotButton="0" quotePrefix="0" xfId="0">
      <alignment horizontal="right" vertical="center"/>
    </xf>
    <xf numFmtId="164" fontId="13" fillId="0" borderId="7" applyAlignment="1" pivotButton="0" quotePrefix="0" xfId="0">
      <alignment vertical="center"/>
    </xf>
    <xf numFmtId="0" fontId="15" fillId="0" borderId="7" applyAlignment="1" pivotButton="0" quotePrefix="0" xfId="0">
      <alignment vertical="center"/>
    </xf>
    <xf numFmtId="10" fontId="15" fillId="3" borderId="7" applyAlignment="1" pivotButton="0" quotePrefix="0" xfId="0">
      <alignment vertical="center"/>
    </xf>
    <xf numFmtId="0" fontId="3" fillId="0" borderId="10" applyAlignment="1" pivotButton="0" quotePrefix="0" xfId="0">
      <alignment horizontal="left" vertical="center"/>
    </xf>
    <xf numFmtId="164" fontId="3" fillId="0" borderId="7" applyAlignment="1" pivotButton="0" quotePrefix="0" xfId="0">
      <alignment horizontal="right" vertical="center"/>
    </xf>
    <xf numFmtId="10" fontId="2" fillId="3" borderId="7" applyAlignment="1" pivotButton="0" quotePrefix="0" xfId="0">
      <alignment horizontal="right" vertical="center"/>
    </xf>
    <xf numFmtId="10" fontId="2" fillId="0" borderId="7" applyAlignment="1" pivotButton="0" quotePrefix="0" xfId="0">
      <alignment horizontal="right" vertical="center"/>
    </xf>
    <xf numFmtId="0" fontId="2" fillId="0" borderId="7" applyAlignment="1" pivotButton="0" quotePrefix="0" xfId="0">
      <alignment horizontal="center" vertical="center"/>
    </xf>
    <xf numFmtId="9" fontId="2" fillId="3" borderId="7" applyAlignment="1" pivotButton="0" quotePrefix="0" xfId="0">
      <alignment horizontal="right" vertical="center"/>
    </xf>
    <xf numFmtId="9" fontId="2" fillId="0" borderId="7" applyAlignment="1" pivotButton="0" quotePrefix="0" xfId="0">
      <alignment horizontal="right" vertical="center"/>
    </xf>
    <xf numFmtId="0" fontId="7" fillId="0" borderId="5" applyAlignment="1" pivotButton="0" quotePrefix="0" xfId="0">
      <alignment horizontal="center" vertical="center"/>
    </xf>
    <xf numFmtId="0" fontId="2" fillId="4" borderId="5" applyAlignment="1" pivotButton="0" quotePrefix="0" xfId="0">
      <alignment vertical="center"/>
    </xf>
    <xf numFmtId="166" fontId="2" fillId="4" borderId="5" applyAlignment="1" pivotButton="0" quotePrefix="0" xfId="0">
      <alignment horizontal="right" vertical="center"/>
    </xf>
    <xf numFmtId="0" fontId="16" fillId="0" borderId="5" applyAlignment="1" pivotButton="0" quotePrefix="0" xfId="0">
      <alignment vertical="center"/>
    </xf>
    <xf numFmtId="164" fontId="16" fillId="0" borderId="9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7" fillId="0" borderId="11" applyAlignment="1" pivotButton="0" quotePrefix="0" xfId="0">
      <alignment horizontal="center" vertical="center"/>
    </xf>
    <xf numFmtId="0" fontId="2" fillId="0" borderId="11" applyAlignment="1" pivotButton="0" quotePrefix="0" xfId="0">
      <alignment vertical="center" shrinkToFit="1"/>
    </xf>
    <xf numFmtId="38" fontId="7" fillId="0" borderId="11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165" fontId="2" fillId="0" borderId="7" applyAlignment="1" pivotButton="0" quotePrefix="0" xfId="0">
      <alignment horizontal="right" vertical="center"/>
    </xf>
    <xf numFmtId="0" fontId="2" fillId="0" borderId="9" applyAlignment="1" pivotButton="0" quotePrefix="0" xfId="0">
      <alignment vertical="center"/>
    </xf>
    <xf numFmtId="165" fontId="2" fillId="3" borderId="9" applyAlignment="1" pivotButton="0" quotePrefix="0" xfId="0">
      <alignment horizontal="right" vertical="center"/>
    </xf>
    <xf numFmtId="0" fontId="2" fillId="0" borderId="9" applyAlignment="1" pivotButton="0" quotePrefix="0" xfId="0">
      <alignment horizontal="right" vertical="center"/>
    </xf>
    <xf numFmtId="10" fontId="2" fillId="0" borderId="9" applyAlignment="1" pivotButton="0" quotePrefix="0" xfId="0">
      <alignment vertical="center"/>
    </xf>
    <xf numFmtId="167" fontId="3" fillId="0" borderId="0" applyAlignment="1" pivotButton="0" quotePrefix="0" xfId="0">
      <alignment vertical="center"/>
    </xf>
    <xf numFmtId="9" fontId="7" fillId="0" borderId="12" applyAlignment="1" pivotButton="0" quotePrefix="0" xfId="0">
      <alignment vertical="center" wrapText="1"/>
    </xf>
    <xf numFmtId="9" fontId="7" fillId="0" borderId="0" applyAlignment="1" pivotButton="0" quotePrefix="0" xfId="0">
      <alignment vertical="center"/>
    </xf>
    <xf numFmtId="0" fontId="3" fillId="0" borderId="5" applyAlignment="1" pivotButton="0" quotePrefix="0" xfId="0">
      <alignment vertical="center"/>
    </xf>
    <xf numFmtId="167" fontId="2" fillId="0" borderId="13" applyAlignment="1" pivotButton="0" quotePrefix="0" xfId="0">
      <alignment vertical="center" wrapText="1"/>
    </xf>
    <xf numFmtId="167" fontId="2" fillId="0" borderId="5" applyAlignment="1" pivotButton="0" quotePrefix="0" xfId="0">
      <alignment horizontal="center" vertical="center"/>
    </xf>
    <xf numFmtId="167" fontId="2" fillId="0" borderId="5" applyAlignment="1" pivotButton="0" quotePrefix="0" xfId="0">
      <alignment horizontal="center" vertical="center" wrapText="1"/>
    </xf>
    <xf numFmtId="167" fontId="2" fillId="0" borderId="13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167" fontId="16" fillId="0" borderId="4" applyAlignment="1" pivotButton="0" quotePrefix="0" xfId="0">
      <alignment vertical="center"/>
    </xf>
    <xf numFmtId="165" fontId="16" fillId="0" borderId="4" applyAlignment="1" pivotButton="0" quotePrefix="0" xfId="0">
      <alignment vertical="center"/>
    </xf>
    <xf numFmtId="167" fontId="2" fillId="0" borderId="4" applyAlignment="1" pivotButton="0" quotePrefix="0" xfId="0">
      <alignment vertical="center"/>
    </xf>
    <xf numFmtId="40" fontId="2" fillId="0" borderId="7" applyAlignment="1" pivotButton="0" quotePrefix="0" xfId="0">
      <alignment vertical="center"/>
    </xf>
    <xf numFmtId="40" fontId="2" fillId="0" borderId="0" applyAlignment="1" pivotButton="0" quotePrefix="0" xfId="0">
      <alignment vertical="center"/>
    </xf>
    <xf numFmtId="38" fontId="2" fillId="0" borderId="14" applyAlignment="1" pivotButton="0" quotePrefix="0" xfId="0">
      <alignment vertical="center"/>
    </xf>
    <xf numFmtId="38" fontId="2" fillId="3" borderId="14" applyAlignment="1" pivotButton="0" quotePrefix="0" xfId="0">
      <alignment vertical="center"/>
    </xf>
    <xf numFmtId="38" fontId="3" fillId="0" borderId="9" applyAlignment="1" pivotButton="0" quotePrefix="0" xfId="0">
      <alignment vertical="center"/>
    </xf>
    <xf numFmtId="38" fontId="3" fillId="5" borderId="9" applyAlignment="1" pivotButton="0" quotePrefix="0" xfId="0">
      <alignment vertical="center"/>
    </xf>
    <xf numFmtId="0" fontId="3" fillId="0" borderId="15" applyAlignment="1" pivotButton="0" quotePrefix="0" xfId="0">
      <alignment vertical="center"/>
    </xf>
    <xf numFmtId="38" fontId="3" fillId="0" borderId="15" applyAlignment="1" pivotButton="0" quotePrefix="0" xfId="0">
      <alignment vertical="center"/>
    </xf>
    <xf numFmtId="167" fontId="2" fillId="0" borderId="0" applyAlignment="1" pivotButton="0" quotePrefix="0" xfId="0">
      <alignment vertical="center"/>
    </xf>
    <xf numFmtId="165" fontId="2" fillId="0" borderId="0" applyAlignment="1" pivotButton="0" quotePrefix="0" xfId="0">
      <alignment vertical="center"/>
    </xf>
    <xf numFmtId="0" fontId="17" fillId="0" borderId="0" pivotButton="0" quotePrefix="0" xfId="0"/>
    <xf numFmtId="38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vertical="center"/>
    </xf>
    <xf numFmtId="0" fontId="2" fillId="0" borderId="4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40" fontId="11" fillId="0" borderId="0" pivotButton="0" quotePrefix="0" xfId="0"/>
    <xf numFmtId="0" fontId="2" fillId="0" borderId="7" applyAlignment="1" pivotButton="0" quotePrefix="0" xfId="0">
      <alignment horizontal="center"/>
    </xf>
    <xf numFmtId="3" fontId="11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4" applyAlignment="1" pivotButton="0" quotePrefix="0" xfId="0">
      <alignment vertical="center"/>
    </xf>
    <xf numFmtId="38" fontId="3" fillId="0" borderId="4" applyAlignment="1" pivotButton="0" quotePrefix="0" xfId="0">
      <alignment vertical="center"/>
    </xf>
    <xf numFmtId="2" fontId="2" fillId="0" borderId="7" applyAlignment="1" pivotButton="0" quotePrefix="0" xfId="0">
      <alignment vertical="center"/>
    </xf>
    <xf numFmtId="2" fontId="2" fillId="0" borderId="9" applyAlignment="1" pivotButton="0" quotePrefix="0" xfId="0">
      <alignment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46"/>
  <sheetViews>
    <sheetView workbookViewId="0">
      <selection activeCell="A1" sqref="A1"/>
    </sheetView>
  </sheetViews>
  <sheetFormatPr baseColWidth="8" defaultRowHeight="13.5"/>
  <cols>
    <col width="3.625" customWidth="1" min="1" max="1"/>
    <col width="18.625" customWidth="1" min="2" max="2"/>
    <col width="11.125" customWidth="1" min="3" max="3"/>
    <col width="10.125" customWidth="1" min="4" max="4"/>
    <col width="10" customWidth="1" min="5" max="5"/>
    <col width="11.125" customWidth="1" min="6" max="6"/>
    <col width="23" customWidth="1" min="9" max="9"/>
    <col width="12.5" customWidth="1" min="10" max="10"/>
    <col width="14" customWidth="1" min="12" max="12"/>
    <col width="9.25" customWidth="1" min="13" max="13"/>
    <col width="13.625" customWidth="1" min="14" max="14"/>
    <col width="15.25" customWidth="1" min="16" max="16"/>
    <col width="14" customWidth="1" min="17" max="17"/>
    <col width="17.5" customWidth="1" min="18" max="18"/>
    <col width="13.125" customWidth="1" min="19" max="19"/>
    <col width="9" customWidth="1" min="20" max="20"/>
    <col width="10.5" customWidth="1" min="21" max="21"/>
    <col width="9" customWidth="1" min="22" max="22"/>
    <col width="23.75" customWidth="1" min="24" max="24"/>
    <col width="9" customWidth="1" min="25" max="25"/>
    <col width="9" customWidth="1" min="28" max="28"/>
    <col width="9" customWidth="1" min="30" max="30"/>
  </cols>
  <sheetData>
    <row r="1" ht="12" customHeight="1">
      <c r="A1" s="1" t="n"/>
      <c r="B1" s="2" t="n"/>
      <c r="C1" s="3" t="n"/>
      <c r="D1" s="2" t="n"/>
      <c r="E1" s="4" t="n"/>
      <c r="G1" s="5" t="n"/>
      <c r="P1" s="6" t="n"/>
      <c r="Q1" s="6" t="n"/>
      <c r="R1" s="6" t="n"/>
    </row>
    <row r="2" ht="12" customHeight="1">
      <c r="B2" s="7" t="n"/>
      <c r="C2" s="8" t="inlineStr">
        <is>
          <t>Input</t>
        </is>
      </c>
      <c r="E2" s="9" t="n"/>
      <c r="P2" s="10" t="inlineStr">
        <is>
          <t>Kim YJ</t>
        </is>
      </c>
      <c r="Q2" s="11" t="n"/>
      <c r="R2" s="10" t="n"/>
    </row>
    <row r="3" ht="12" customHeight="1">
      <c r="A3" s="8" t="n"/>
      <c r="B3" s="12" t="inlineStr">
        <is>
          <t>1.S/V md for PTJ use only</t>
        </is>
      </c>
      <c r="C3" s="13" t="n"/>
      <c r="D3" s="13" t="n"/>
      <c r="E3" s="13" t="n"/>
      <c r="G3" s="12" t="n"/>
      <c r="H3" s="8" t="n"/>
      <c r="I3" s="12" t="inlineStr">
        <is>
          <t>2-1. Cost/Expenses</t>
        </is>
      </c>
      <c r="K3" s="12" t="n"/>
      <c r="L3" s="14" t="n"/>
      <c r="M3" s="14" t="n"/>
      <c r="N3" s="14" t="n"/>
      <c r="O3" s="15" t="inlineStr">
        <is>
          <t>2-2. Exchange Rate</t>
        </is>
      </c>
      <c r="Q3" s="16" t="n"/>
      <c r="R3" s="8" t="n"/>
      <c r="S3" s="8" t="n"/>
      <c r="T3" s="17" t="n"/>
      <c r="U3" s="8" t="n"/>
      <c r="V3" s="8" t="n"/>
      <c r="W3" s="8" t="n"/>
      <c r="X3" s="8" t="n"/>
      <c r="Y3" s="8" t="n"/>
      <c r="Z3" s="8" t="n"/>
      <c r="AB3" s="18" t="n"/>
      <c r="AC3" s="18" t="n"/>
    </row>
    <row r="4" ht="12" customHeight="1">
      <c r="B4" s="19" t="n"/>
      <c r="C4" s="20" t="inlineStr">
        <is>
          <t>Man-Month</t>
        </is>
      </c>
      <c r="D4" s="21" t="inlineStr">
        <is>
          <t>Man-Calendar day</t>
        </is>
      </c>
      <c r="E4" s="22" t="n"/>
      <c r="F4" s="21" t="inlineStr">
        <is>
          <t>備考</t>
        </is>
      </c>
      <c r="G4" s="21" t="inlineStr">
        <is>
          <t>単価</t>
        </is>
      </c>
      <c r="I4" s="23" t="n"/>
      <c r="J4" s="24" t="inlineStr">
        <is>
          <t>PTJ</t>
        </is>
      </c>
      <c r="K4" s="23" t="inlineStr">
        <is>
          <t>remarks</t>
        </is>
      </c>
      <c r="L4" s="23" t="n"/>
      <c r="M4" s="23" t="n"/>
      <c r="O4" s="25" t="inlineStr">
        <is>
          <t>USD/JPY</t>
        </is>
      </c>
      <c r="P4" s="26" t="n"/>
      <c r="S4" s="17" t="n"/>
      <c r="T4" s="8" t="n"/>
    </row>
    <row r="5" ht="12" customHeight="1">
      <c r="A5" s="15" t="n"/>
      <c r="B5" s="27" t="n"/>
      <c r="C5" s="27" t="inlineStr">
        <is>
          <t>Spec.</t>
        </is>
      </c>
      <c r="D5" s="28" t="n">
        <v>30.5</v>
      </c>
      <c r="E5" s="29" t="inlineStr">
        <is>
          <t>day/month</t>
        </is>
      </c>
      <c r="F5" s="28" t="n"/>
      <c r="G5" s="29" t="n"/>
      <c r="I5" s="30" t="inlineStr">
        <is>
          <t>PTKorea COMM</t>
        </is>
      </c>
      <c r="J5" s="31" t="n">
        <v>0</v>
      </c>
      <c r="K5" s="30" t="inlineStr">
        <is>
          <t>PTKorea</t>
        </is>
      </c>
      <c r="L5" s="30" t="n"/>
      <c r="M5" s="30" t="n"/>
      <c r="O5" s="25" t="inlineStr">
        <is>
          <t>Euro/JPY</t>
        </is>
      </c>
      <c r="P5" s="26" t="n"/>
      <c r="S5" s="17" t="n"/>
      <c r="T5" s="8" t="n"/>
    </row>
    <row r="6" ht="12" customHeight="1">
      <c r="B6" s="32" t="inlineStr">
        <is>
          <t>RCM</t>
        </is>
      </c>
      <c r="C6" s="33" t="n"/>
      <c r="D6" s="33" t="inlineStr">
        <is>
          <t>C-md</t>
        </is>
      </c>
      <c r="E6" s="34" t="inlineStr">
        <is>
          <t>W-md</t>
        </is>
      </c>
      <c r="F6" s="35" t="n"/>
      <c r="G6" s="36" t="n"/>
      <c r="I6" s="30" t="inlineStr">
        <is>
          <t>insurance</t>
        </is>
      </c>
      <c r="J6" s="31" t="n">
        <v>0</v>
      </c>
      <c r="K6" s="30" t="n"/>
      <c r="L6" s="30" t="n"/>
      <c r="M6" s="30" t="n"/>
      <c r="O6" s="25" t="inlineStr">
        <is>
          <t>USD/INR</t>
        </is>
      </c>
      <c r="P6" s="26" t="n"/>
      <c r="R6" s="8" t="n"/>
      <c r="S6" s="17" t="n"/>
      <c r="T6" s="8" t="n"/>
      <c r="U6" s="8" t="n"/>
      <c r="V6" s="8" t="n"/>
      <c r="W6" s="8" t="n"/>
      <c r="X6" s="8" t="n"/>
      <c r="Y6" s="8" t="n"/>
      <c r="Z6" s="8" t="n"/>
      <c r="AB6" s="18" t="n"/>
      <c r="AC6" s="18" t="n"/>
    </row>
    <row r="7" ht="12" customHeight="1">
      <c r="B7" s="37" t="inlineStr">
        <is>
          <t>SV</t>
        </is>
      </c>
      <c r="C7" s="38">
        <f>D7/D5</f>
        <v/>
      </c>
      <c r="D7" s="39">
        <f>G37</f>
        <v/>
      </c>
      <c r="E7" s="40" t="n"/>
      <c r="F7" s="40" t="n"/>
      <c r="G7" s="41" t="n"/>
      <c r="I7" s="30" t="inlineStr">
        <is>
          <t>bond charge</t>
        </is>
      </c>
      <c r="J7" s="31" t="n">
        <v>0</v>
      </c>
      <c r="K7" s="30" t="n"/>
      <c r="L7" s="30" t="n"/>
      <c r="M7" s="30" t="n"/>
      <c r="O7" s="25" t="inlineStr">
        <is>
          <t>Euro/USD</t>
        </is>
      </c>
      <c r="P7" s="42" t="n"/>
      <c r="R7" s="8" t="n"/>
      <c r="S7" s="17" t="n"/>
      <c r="T7" s="8" t="n"/>
      <c r="U7" s="8" t="n"/>
      <c r="V7" s="8" t="n"/>
      <c r="W7" s="8" t="n"/>
      <c r="X7" s="8" t="n"/>
      <c r="Y7" s="8" t="n"/>
      <c r="Z7" s="8" t="n"/>
      <c r="AB7" s="18" t="n"/>
      <c r="AC7" s="18" t="n"/>
    </row>
    <row r="8" ht="12" customHeight="1">
      <c r="B8" s="43" t="n"/>
      <c r="C8" s="44" t="n"/>
      <c r="D8" s="45" t="n"/>
      <c r="E8" s="46" t="n"/>
      <c r="F8" s="46" t="n"/>
      <c r="G8" s="47" t="n"/>
      <c r="I8" s="48" t="inlineStr">
        <is>
          <t xml:space="preserve"> total (others)</t>
        </is>
      </c>
      <c r="J8" s="49">
        <f>SUM(J5:J7)</f>
        <v/>
      </c>
      <c r="K8" s="49" t="n"/>
      <c r="L8" s="50" t="n"/>
      <c r="M8" s="48" t="n"/>
      <c r="R8" s="8" t="n"/>
      <c r="S8" s="17" t="n"/>
      <c r="T8" s="8" t="n"/>
      <c r="U8" s="8" t="n"/>
      <c r="V8" s="8" t="n"/>
      <c r="W8" s="8" t="n"/>
      <c r="X8" s="8" t="n"/>
      <c r="Y8" s="8" t="n"/>
      <c r="Z8" s="8" t="n"/>
      <c r="AB8" s="18" t="n"/>
      <c r="AC8" s="18" t="n"/>
    </row>
    <row r="9" ht="12" customHeight="1">
      <c r="B9" s="48" t="n"/>
      <c r="C9" s="44" t="n"/>
      <c r="D9" s="45" t="n"/>
      <c r="E9" s="46" t="n"/>
      <c r="F9" s="46" t="n"/>
      <c r="G9" s="47" t="n"/>
      <c r="I9" s="48" t="n"/>
      <c r="J9" s="49" t="n"/>
      <c r="K9" s="49" t="n"/>
      <c r="L9" s="50" t="n"/>
      <c r="M9" s="48" t="n"/>
      <c r="R9" s="8" t="n"/>
      <c r="S9" s="17" t="n"/>
      <c r="T9" s="8" t="n"/>
      <c r="U9" s="8" t="n"/>
      <c r="V9" s="8" t="n"/>
      <c r="W9" s="8" t="n"/>
      <c r="X9" s="8" t="n"/>
      <c r="Y9" s="8" t="n"/>
      <c r="Z9" s="8" t="n"/>
      <c r="AB9" s="18" t="n"/>
      <c r="AC9" s="18" t="n"/>
    </row>
    <row r="10" ht="12" customHeight="1">
      <c r="B10" s="51" t="n"/>
      <c r="C10" s="52" t="n"/>
      <c r="D10" s="53" t="n"/>
      <c r="E10" s="54" t="n"/>
      <c r="F10" s="54" t="n"/>
      <c r="G10" s="55" t="n"/>
      <c r="I10" s="48" t="inlineStr">
        <is>
          <t>TAX</t>
        </is>
      </c>
      <c r="J10" s="56" t="n"/>
      <c r="K10" s="56" t="n"/>
      <c r="L10" s="48" t="n"/>
      <c r="M10" s="48" t="n"/>
      <c r="R10" s="8" t="n"/>
      <c r="S10" s="17" t="n"/>
      <c r="T10" s="8" t="n"/>
      <c r="U10" s="8" t="n"/>
      <c r="V10" s="8" t="n"/>
      <c r="W10" s="8" t="n"/>
      <c r="X10" s="8" t="n"/>
      <c r="Y10" s="8" t="n"/>
      <c r="Z10" s="8" t="n"/>
      <c r="AB10" s="18" t="n"/>
      <c r="AC10" s="18" t="n"/>
    </row>
    <row r="11" ht="12" customHeight="1">
      <c r="B11" s="57" t="inlineStr">
        <is>
          <t>合計</t>
        </is>
      </c>
      <c r="C11" s="58">
        <f>SUM(C7:C10)</f>
        <v/>
      </c>
      <c r="D11" s="58">
        <f>SUM(D7:D10)</f>
        <v/>
      </c>
      <c r="E11" s="59" t="n"/>
      <c r="F11" s="59" t="n"/>
      <c r="G11" s="60" t="n"/>
      <c r="I11" s="56" t="inlineStr">
        <is>
          <t>Equipment</t>
        </is>
      </c>
      <c r="J11" s="61" t="n">
        <v>0</v>
      </c>
      <c r="K11" s="56" t="n"/>
      <c r="L11" s="56" t="n"/>
      <c r="M11" s="56" t="n"/>
      <c r="R11" s="8" t="n"/>
      <c r="S11" s="17" t="n"/>
      <c r="T11" s="8" t="n"/>
      <c r="U11" s="8" t="n"/>
      <c r="V11" s="8" t="n"/>
      <c r="W11" s="8" t="n"/>
      <c r="X11" s="8" t="n"/>
      <c r="Y11" s="8" t="n"/>
      <c r="Z11" s="8" t="n"/>
      <c r="AB11" s="18" t="n"/>
      <c r="AC11" s="18" t="n"/>
    </row>
    <row r="12" ht="12" customHeight="1">
      <c r="B12" s="48" t="inlineStr">
        <is>
          <t>その他</t>
        </is>
      </c>
      <c r="C12" s="48" t="n"/>
      <c r="D12" s="48" t="n"/>
      <c r="E12" s="48" t="n"/>
      <c r="F12" s="46" t="n"/>
      <c r="G12" s="46" t="n"/>
      <c r="I12" s="56" t="inlineStr">
        <is>
          <t>SV indivisual Tax</t>
        </is>
      </c>
      <c r="J12" s="62" t="n">
        <v>0</v>
      </c>
      <c r="K12" s="56" t="n"/>
      <c r="L12" s="56" t="n"/>
      <c r="M12" s="56" t="n"/>
      <c r="R12" s="8" t="n"/>
      <c r="S12" s="17" t="n"/>
      <c r="T12" s="8" t="n"/>
      <c r="U12" s="8" t="n"/>
      <c r="V12" s="8" t="n"/>
      <c r="W12" s="8" t="n"/>
      <c r="X12" s="8" t="n"/>
      <c r="Y12" s="8" t="n"/>
      <c r="Z12" s="8" t="n"/>
      <c r="AB12" s="18" t="n"/>
      <c r="AC12" s="18" t="n"/>
    </row>
    <row r="13" ht="12" customHeight="1">
      <c r="B13" s="43" t="n"/>
      <c r="C13" s="63" t="n"/>
      <c r="D13" s="64" t="n"/>
      <c r="E13" s="46" t="n"/>
      <c r="F13" s="46" t="n"/>
      <c r="G13" s="47" t="n"/>
      <c r="I13" s="65" t="inlineStr">
        <is>
          <t>TAX(CIT)</t>
        </is>
      </c>
      <c r="J13" s="66" t="n">
        <v>0</v>
      </c>
      <c r="K13" s="56" t="n"/>
      <c r="L13" s="65" t="n"/>
      <c r="M13" s="48" t="n"/>
      <c r="R13" s="8" t="n"/>
      <c r="S13" s="17" t="n"/>
      <c r="T13" s="8" t="n"/>
      <c r="U13" s="8" t="n"/>
      <c r="V13" s="8" t="n"/>
      <c r="W13" s="8" t="n"/>
      <c r="X13" s="8" t="n"/>
      <c r="Y13" s="8" t="n"/>
      <c r="Z13" s="8" t="n"/>
      <c r="AB13" s="18" t="n"/>
      <c r="AC13" s="18" t="n"/>
    </row>
    <row r="14" ht="12" customHeight="1">
      <c r="B14" s="67" t="n"/>
      <c r="C14" s="68" t="n"/>
      <c r="D14" s="45" t="n"/>
      <c r="E14" s="47" t="n"/>
      <c r="F14" s="46" t="n"/>
      <c r="G14" s="47" t="n"/>
      <c r="I14" s="56" t="inlineStr">
        <is>
          <t>FC(mech.)</t>
        </is>
      </c>
      <c r="J14" s="69" t="n">
        <v>0</v>
      </c>
      <c r="K14" s="70" t="n"/>
      <c r="L14" s="49" t="n"/>
      <c r="M14" s="56" t="n"/>
      <c r="R14" s="8" t="n"/>
      <c r="S14" s="17" t="n"/>
      <c r="T14" s="8" t="n"/>
      <c r="U14" s="8" t="n"/>
      <c r="V14" s="8" t="n"/>
      <c r="W14" s="8" t="n"/>
      <c r="X14" s="8" t="n"/>
      <c r="Y14" s="8" t="n"/>
      <c r="Z14" s="8" t="n"/>
      <c r="AB14" s="18" t="n"/>
      <c r="AC14" s="18" t="n"/>
    </row>
    <row r="15" ht="12" customHeight="1">
      <c r="B15" s="71" t="n"/>
      <c r="C15" s="44" t="n"/>
      <c r="D15" s="45" t="n"/>
      <c r="E15" s="47" t="n"/>
      <c r="F15" s="46" t="n"/>
      <c r="G15" s="46" t="n"/>
      <c r="I15" s="56" t="inlineStr">
        <is>
          <t>FC(EA)</t>
        </is>
      </c>
      <c r="J15" s="72" t="n"/>
      <c r="K15" s="73" t="n"/>
      <c r="L15" s="56" t="n"/>
      <c r="M15" s="56" t="n"/>
      <c r="R15" s="8" t="n"/>
      <c r="S15" s="17" t="n"/>
      <c r="T15" s="8" t="n"/>
      <c r="U15" s="8" t="n"/>
      <c r="V15" s="8" t="n"/>
      <c r="W15" s="8" t="n"/>
      <c r="X15" s="8" t="n"/>
      <c r="Y15" s="8" t="n"/>
      <c r="Z15" s="8" t="n"/>
      <c r="AB15" s="18" t="n"/>
      <c r="AC15" s="18" t="n"/>
    </row>
    <row r="16" ht="12" customHeight="1">
      <c r="B16" s="74" t="inlineStr">
        <is>
          <t>単価</t>
        </is>
      </c>
      <c r="C16" s="75" t="n">
        <v>120</v>
      </c>
      <c r="D16" s="76" t="n">
        <v>220</v>
      </c>
      <c r="E16" s="60" t="n"/>
      <c r="F16" s="77" t="inlineStr">
        <is>
          <t>CMDs - 220kJPY</t>
        </is>
      </c>
      <c r="G16" s="78" t="n"/>
      <c r="H16" s="79" t="n"/>
      <c r="I16" s="56" t="inlineStr">
        <is>
          <t>EBIT</t>
        </is>
      </c>
      <c r="J16" s="70" t="inlineStr">
        <is>
          <t>see below</t>
        </is>
      </c>
      <c r="K16" s="70" t="n"/>
      <c r="L16" s="49" t="n"/>
      <c r="M16" s="56" t="n"/>
      <c r="R16" s="8" t="n"/>
      <c r="S16" s="17" t="n"/>
      <c r="T16" s="8" t="n"/>
      <c r="U16" s="8" t="n"/>
      <c r="V16" s="8" t="n"/>
      <c r="W16" s="8" t="n"/>
      <c r="X16" s="8" t="n"/>
      <c r="Y16" s="8" t="n"/>
      <c r="Z16" s="8" t="n"/>
      <c r="AB16" s="18" t="n"/>
      <c r="AC16" s="18" t="n"/>
    </row>
    <row r="17" ht="12" customHeight="1">
      <c r="B17" s="80" t="n"/>
      <c r="C17" s="81" t="inlineStr">
        <is>
          <t>indivisual tax/MM</t>
        </is>
      </c>
      <c r="D17" s="82" t="inlineStr">
        <is>
          <t>kJPY/c-md</t>
        </is>
      </c>
      <c r="E17" s="82" t="inlineStr">
        <is>
          <t>kJPY/w-md</t>
        </is>
      </c>
      <c r="F17" s="83" t="n"/>
      <c r="G17" s="83" t="n"/>
      <c r="I17" s="56" t="inlineStr">
        <is>
          <t>Nego margin</t>
        </is>
      </c>
      <c r="J17" s="84" t="inlineStr">
        <is>
          <t>see below</t>
        </is>
      </c>
      <c r="K17" s="70" t="n"/>
      <c r="L17" s="49" t="n"/>
      <c r="M17" s="56" t="n"/>
      <c r="R17" s="8" t="n"/>
      <c r="S17" s="17" t="n"/>
      <c r="T17" s="8" t="n"/>
      <c r="U17" s="8" t="n"/>
      <c r="V17" s="8" t="n"/>
      <c r="W17" s="8" t="n"/>
      <c r="X17" s="8" t="n"/>
      <c r="Y17" s="8" t="n"/>
      <c r="Z17" s="8" t="n"/>
      <c r="AB17" s="18" t="n"/>
      <c r="AC17" s="18" t="n"/>
    </row>
    <row r="18" ht="12" customHeight="1">
      <c r="I18" s="85" t="inlineStr">
        <is>
          <t>RC（営業加算）</t>
        </is>
      </c>
      <c r="J18" s="86" t="n">
        <v>0</v>
      </c>
      <c r="K18" s="87" t="n"/>
      <c r="L18" s="88" t="n"/>
      <c r="M18" s="85" t="n"/>
      <c r="R18" s="8" t="n"/>
      <c r="S18" s="17" t="n"/>
      <c r="T18" s="8" t="n"/>
      <c r="U18" s="8" t="n"/>
      <c r="V18" s="8" t="n"/>
      <c r="W18" s="8" t="n"/>
      <c r="X18" s="8" t="n"/>
      <c r="Y18" s="8" t="n"/>
      <c r="Z18" s="8" t="n"/>
      <c r="AB18" s="18" t="n"/>
      <c r="AC18" s="18" t="n"/>
    </row>
    <row r="19" ht="12" customHeight="1">
      <c r="R19" s="8" t="n"/>
      <c r="S19" s="17" t="n"/>
      <c r="T19" s="8" t="n"/>
      <c r="U19" s="8" t="n"/>
      <c r="V19" s="8" t="n"/>
      <c r="W19" s="8" t="n"/>
      <c r="X19" s="8" t="n"/>
      <c r="Y19" s="8" t="n"/>
      <c r="Z19" s="8" t="n"/>
      <c r="AB19" s="18" t="n"/>
      <c r="AC19" s="18" t="n"/>
    </row>
    <row r="20" ht="12" customHeight="1">
      <c r="B20" s="12" t="inlineStr">
        <is>
          <t>3. Cost calculation（本体）</t>
        </is>
      </c>
      <c r="C20" s="89" t="n"/>
      <c r="D20" s="89" t="n"/>
      <c r="E20" s="89" t="n"/>
      <c r="F20" s="89" t="n"/>
      <c r="G20" s="8" t="n"/>
      <c r="H20" s="90" t="n"/>
      <c r="I20" s="89" t="n"/>
      <c r="J20" s="91" t="n"/>
      <c r="K20" s="89" t="n"/>
      <c r="L20" s="89" t="n"/>
      <c r="M20" s="89" t="n"/>
      <c r="N20" s="8" t="n"/>
      <c r="O20" s="8" t="n"/>
      <c r="T20" s="17" t="n"/>
      <c r="AB20" s="17" t="n"/>
      <c r="AC20" s="17" t="n"/>
    </row>
    <row r="21" ht="58.5" customHeight="1">
      <c r="B21" s="92" t="n"/>
      <c r="C21" s="93" t="inlineStr">
        <is>
          <t>Pure Manf. Cost</t>
        </is>
      </c>
      <c r="D21" s="94" t="inlineStr">
        <is>
          <t>indv. Tax</t>
        </is>
      </c>
      <c r="E21" s="95" t="inlineStr">
        <is>
          <t>CIT</t>
        </is>
      </c>
      <c r="F21" s="95" t="inlineStr">
        <is>
          <t>others</t>
        </is>
      </c>
      <c r="G21" s="95" t="inlineStr">
        <is>
          <t>RC</t>
        </is>
      </c>
      <c r="H21" s="94" t="inlineStr">
        <is>
          <t>Manf. Cost</t>
        </is>
      </c>
      <c r="I21" s="57" t="inlineStr">
        <is>
          <t>FC</t>
        </is>
      </c>
      <c r="J21" s="94" t="inlineStr">
        <is>
          <t>Total cost</t>
        </is>
      </c>
      <c r="K21" s="96" t="inlineStr">
        <is>
          <t>EBIT</t>
        </is>
      </c>
      <c r="L21" s="95" t="inlineStr">
        <is>
          <t>TotalCost+EBIT
(w/o nego)</t>
        </is>
      </c>
      <c r="M21" s="95" t="inlineStr">
        <is>
          <t>nego margin</t>
        </is>
      </c>
      <c r="N21" s="97" t="inlineStr">
        <is>
          <t>(2)
Offer price</t>
        </is>
      </c>
      <c r="O21" s="98" t="inlineStr">
        <is>
          <t>Remarks</t>
        </is>
      </c>
      <c r="P21" s="98" t="n"/>
      <c r="Q21" s="98" t="n"/>
      <c r="R21" s="17" t="n"/>
      <c r="T21" s="8" t="n"/>
      <c r="AA21" s="17" t="n"/>
      <c r="AC21" s="8" t="n"/>
    </row>
    <row r="22" ht="12" customHeight="1">
      <c r="A22" s="15" t="n"/>
      <c r="B22" s="92" t="n"/>
      <c r="C22" s="99" t="n"/>
      <c r="D22" s="99" t="n"/>
      <c r="E22" s="100" t="n"/>
      <c r="F22" s="100" t="n"/>
      <c r="G22" s="100" t="n"/>
      <c r="H22" s="99" t="n"/>
      <c r="I22" s="100" t="n"/>
      <c r="J22" s="99" t="n"/>
      <c r="K22" s="100">
        <f>K26</f>
        <v/>
      </c>
      <c r="L22" s="100" t="n"/>
      <c r="M22" s="100">
        <f>M26/N26</f>
        <v/>
      </c>
      <c r="N22" s="101" t="n"/>
      <c r="O22" s="8" t="n"/>
      <c r="T22" s="8" t="n"/>
      <c r="AB22" s="8" t="n"/>
      <c r="AC22" s="8" t="n"/>
    </row>
    <row r="23" ht="16.5" customHeight="1">
      <c r="A23" s="15" t="n"/>
      <c r="B23" s="92" t="inlineStr">
        <is>
          <t>機械</t>
        </is>
      </c>
      <c r="C23" s="46" t="n"/>
      <c r="D23" s="46" t="n"/>
      <c r="E23" s="46" t="n"/>
      <c r="F23" s="46" t="n"/>
      <c r="G23" s="46" t="n"/>
      <c r="H23" s="46" t="n"/>
      <c r="I23" s="46" t="n"/>
      <c r="J23" s="46" t="n"/>
      <c r="K23" s="102">
        <f>(L23-J23)/L23%</f>
        <v/>
      </c>
      <c r="L23" s="46">
        <f>L26-L24-L25</f>
        <v/>
      </c>
      <c r="M23" s="100">
        <f>(N23-L23)/N23</f>
        <v/>
      </c>
      <c r="N23" s="46">
        <f>N26-N24-N25</f>
        <v/>
      </c>
      <c r="O23" s="103" t="n"/>
      <c r="T23" s="8" t="n"/>
      <c r="AB23" s="8" t="n"/>
      <c r="AC23" s="8" t="n"/>
    </row>
    <row r="24">
      <c r="A24" s="15" t="n"/>
      <c r="B24" s="92" t="inlineStr">
        <is>
          <t>SV</t>
        </is>
      </c>
      <c r="C24" s="46" t="n"/>
      <c r="D24" s="46" t="n"/>
      <c r="E24" s="46" t="n"/>
      <c r="F24" s="46" t="n"/>
      <c r="G24" s="46" t="n"/>
      <c r="H24" s="46" t="n"/>
      <c r="I24" s="46" t="n"/>
      <c r="J24" s="46" t="n"/>
      <c r="K24" s="102">
        <f>(L24-J24)/L24%</f>
        <v/>
      </c>
      <c r="L24" s="46">
        <f>D16*D11</f>
        <v/>
      </c>
      <c r="M24" s="100">
        <f>(N24-L24)/N24</f>
        <v/>
      </c>
      <c r="N24" s="104">
        <f>L24</f>
        <v/>
      </c>
      <c r="O24" s="17" t="n"/>
      <c r="T24" s="8" t="n"/>
      <c r="AB24" s="8" t="n"/>
      <c r="AC24" s="8" t="n"/>
    </row>
    <row r="25">
      <c r="A25" s="15" t="n"/>
      <c r="B25" s="92" t="inlineStr">
        <is>
          <t>推奨予備品</t>
        </is>
      </c>
      <c r="C25" s="104" t="n"/>
      <c r="D25" s="104" t="n"/>
      <c r="E25" s="104" t="n"/>
      <c r="F25" s="46" t="n"/>
      <c r="G25" s="46" t="n"/>
      <c r="H25" s="46" t="n"/>
      <c r="I25" s="46" t="n"/>
      <c r="J25" s="46" t="n"/>
      <c r="K25" s="102" t="n"/>
      <c r="L25" s="46" t="n"/>
      <c r="M25" s="100" t="n"/>
      <c r="N25" s="105" t="n"/>
      <c r="O25" s="17" t="n"/>
      <c r="T25" s="8" t="n"/>
      <c r="AB25" s="8" t="n"/>
      <c r="AC25" s="8" t="n"/>
    </row>
    <row r="26" ht="12" customHeight="1">
      <c r="A26" s="15" t="n"/>
      <c r="B26" s="92" t="inlineStr">
        <is>
          <t xml:space="preserve">  Total</t>
        </is>
      </c>
      <c r="C26" s="106" t="n"/>
      <c r="D26" s="106" t="n"/>
      <c r="E26" s="106" t="n"/>
      <c r="F26" s="106" t="n"/>
      <c r="G26" s="106" t="n"/>
      <c r="H26" s="106" t="n"/>
      <c r="I26" s="106" t="n"/>
      <c r="J26" s="106">
        <f>SUM(J23:J25)</f>
        <v/>
      </c>
      <c r="K26" s="102" t="n">
        <v>0.08</v>
      </c>
      <c r="L26" s="106">
        <f>J26/(1-K26)</f>
        <v/>
      </c>
      <c r="M26" s="106">
        <f>N26-L26</f>
        <v/>
      </c>
      <c r="N26" s="107" t="n"/>
      <c r="O26" s="17" t="n"/>
      <c r="T26" s="8" t="n"/>
      <c r="AB26" s="8" t="n"/>
      <c r="AC26" s="8" t="n"/>
    </row>
    <row r="27" ht="12" customHeight="1">
      <c r="A27" s="15" t="n"/>
      <c r="B27" s="108" t="n"/>
      <c r="C27" s="109" t="n"/>
      <c r="D27" s="109" t="n"/>
      <c r="E27" s="109" t="n"/>
      <c r="F27" s="109" t="n"/>
      <c r="G27" s="109" t="n"/>
      <c r="H27" s="109" t="n"/>
      <c r="I27" s="109" t="n"/>
      <c r="J27" s="109" t="n"/>
      <c r="K27" s="109" t="n"/>
      <c r="L27" s="109" t="n"/>
      <c r="M27" s="109" t="n"/>
      <c r="N27" s="109" t="n"/>
      <c r="O27" s="17" t="n"/>
      <c r="T27" s="8" t="n"/>
      <c r="AB27" s="8" t="n"/>
      <c r="AC27" s="8" t="n"/>
    </row>
    <row r="28">
      <c r="C28" s="110" t="n"/>
      <c r="D28" s="110" t="n"/>
      <c r="E28" s="110" t="n"/>
      <c r="F28" s="110" t="n"/>
      <c r="G28" s="110" t="n"/>
      <c r="H28" s="110" t="n"/>
      <c r="I28" s="111" t="n"/>
      <c r="J28" s="110" t="n"/>
      <c r="K28" s="111" t="n"/>
      <c r="L28" s="17" t="n"/>
      <c r="M28" s="111" t="n"/>
      <c r="N28" s="17" t="n"/>
      <c r="O28" s="17" t="n"/>
      <c r="S28" s="17" t="n"/>
      <c r="T28" s="8" t="n"/>
      <c r="AA28" s="17" t="n"/>
      <c r="AC28" s="8" t="n"/>
    </row>
    <row r="29" ht="16.5" customHeight="1">
      <c r="B29" s="8" t="inlineStr">
        <is>
          <t>4. SV MD　カウント方法</t>
        </is>
      </c>
      <c r="L29" s="17" t="inlineStr">
        <is>
          <t>MAIN ITEM 原価計</t>
        </is>
      </c>
      <c r="M29" s="112" t="inlineStr">
        <is>
          <t>Proportion</t>
        </is>
      </c>
      <c r="N29" s="113" t="inlineStr">
        <is>
          <t>Submit</t>
        </is>
      </c>
      <c r="O29" s="114" t="inlineStr">
        <is>
          <t>price/ea</t>
        </is>
      </c>
    </row>
    <row r="30" ht="14.25" customHeight="1">
      <c r="B30" s="23" t="n"/>
      <c r="C30" s="23" t="inlineStr">
        <is>
          <t>week</t>
        </is>
      </c>
      <c r="D30" s="23" t="inlineStr">
        <is>
          <t>実働</t>
        </is>
      </c>
      <c r="E30" s="23" t="inlineStr">
        <is>
          <t>休日</t>
        </is>
      </c>
      <c r="F30" s="23" t="inlineStr">
        <is>
          <t>移動</t>
        </is>
      </c>
      <c r="G30" s="115" t="inlineStr">
        <is>
          <t>計（C-MD）</t>
        </is>
      </c>
      <c r="J30" s="116" t="n"/>
      <c r="L30" s="17" t="n"/>
      <c r="M30" s="117">
        <f>IFERROR(L30/$L$33*$N$23,"")</f>
        <v/>
      </c>
      <c r="N30" s="17" t="n"/>
    </row>
    <row r="31" ht="14.25" customHeight="1">
      <c r="B31" s="56" t="inlineStr">
        <is>
          <t>SV A</t>
        </is>
      </c>
      <c r="C31" s="56" t="n"/>
      <c r="D31" s="56" t="n"/>
      <c r="E31" s="56" t="n"/>
      <c r="F31" s="56" t="n"/>
      <c r="G31" s="118">
        <f>SUM(D31:F31)</f>
        <v/>
      </c>
      <c r="J31" s="116" t="n"/>
      <c r="L31" s="119" t="n"/>
      <c r="M31" s="117">
        <f>IFERROR(L31/$L$33*$N$23,"")</f>
        <v/>
      </c>
      <c r="N31" s="17" t="n"/>
    </row>
    <row r="32" ht="14.25" customHeight="1">
      <c r="B32" s="56" t="inlineStr">
        <is>
          <t>SV B</t>
        </is>
      </c>
      <c r="C32" s="56" t="n"/>
      <c r="D32" s="56" t="n"/>
      <c r="E32" s="56" t="n"/>
      <c r="F32" s="56" t="n"/>
      <c r="G32" s="118">
        <f>SUM(D32:F32)</f>
        <v/>
      </c>
      <c r="J32" s="116" t="n"/>
      <c r="L32" s="119" t="n"/>
      <c r="M32" s="117">
        <f>IFERROR(L32/$L$33*$N$23,"")</f>
        <v/>
      </c>
      <c r="N32" s="17" t="n"/>
    </row>
    <row r="33" ht="14.25" customHeight="1">
      <c r="B33" s="56" t="inlineStr">
        <is>
          <t>SV C</t>
        </is>
      </c>
      <c r="C33" s="56" t="n"/>
      <c r="D33" s="56" t="n"/>
      <c r="E33" s="56" t="n"/>
      <c r="F33" s="56" t="n"/>
      <c r="G33" s="118">
        <f>SUM(D33:F33)</f>
        <v/>
      </c>
      <c r="K33" s="111" t="n"/>
      <c r="L33" s="17">
        <f>SUM(L30:L32)</f>
        <v/>
      </c>
      <c r="M33" s="17">
        <f>SUM(M30:M32)</f>
        <v/>
      </c>
      <c r="N33" s="17">
        <f>SUM(N30:N32)</f>
        <v/>
      </c>
    </row>
    <row r="34" ht="14.25" customHeight="1">
      <c r="B34" s="56" t="inlineStr">
        <is>
          <t>SV D</t>
        </is>
      </c>
      <c r="C34" s="56" t="n"/>
      <c r="D34" s="56" t="n"/>
      <c r="E34" s="56" t="n"/>
      <c r="F34" s="56" t="n"/>
      <c r="G34" s="118">
        <f>SUM(D34:F34)</f>
        <v/>
      </c>
      <c r="K34" s="8" t="n"/>
      <c r="L34" s="17" t="n"/>
      <c r="M34" s="17" t="n"/>
      <c r="N34" s="17" t="n"/>
    </row>
    <row r="35" ht="14.25" customHeight="1">
      <c r="B35" s="56" t="inlineStr">
        <is>
          <t>SV E</t>
        </is>
      </c>
      <c r="C35" s="56" t="n"/>
      <c r="D35" s="56" t="n"/>
      <c r="E35" s="56" t="n"/>
      <c r="F35" s="56" t="n"/>
      <c r="G35" s="118">
        <f>SUM(D35:F35)</f>
        <v/>
      </c>
      <c r="K35" s="8" t="n"/>
      <c r="L35" s="17" t="n"/>
      <c r="M35" s="8" t="n"/>
      <c r="N35" s="17" t="n"/>
    </row>
    <row r="36" ht="14.25" customHeight="1">
      <c r="B36" s="56" t="inlineStr">
        <is>
          <t>SV F</t>
        </is>
      </c>
      <c r="C36" s="56" t="n"/>
      <c r="D36" s="56" t="n"/>
      <c r="E36" s="56" t="n"/>
      <c r="F36" s="56" t="n"/>
      <c r="G36" s="118">
        <f>SUM(D36:F36)</f>
        <v/>
      </c>
      <c r="K36" s="8" t="n"/>
      <c r="L36" s="17" t="n"/>
      <c r="M36" s="17" t="n"/>
      <c r="N36" s="17" t="n"/>
    </row>
    <row r="37">
      <c r="B37" s="56" t="inlineStr">
        <is>
          <t>合計</t>
        </is>
      </c>
      <c r="G37" s="118">
        <f>SUM(G31:G36)</f>
        <v/>
      </c>
      <c r="M37" s="111" t="n"/>
      <c r="N37" s="8" t="n"/>
    </row>
    <row r="38" ht="14.25" customHeight="1">
      <c r="B38" s="8" t="inlineStr">
        <is>
          <t>5. 残業</t>
        </is>
      </c>
      <c r="C38" s="8" t="inlineStr">
        <is>
          <t>Offer</t>
        </is>
      </c>
      <c r="D38" s="8" t="inlineStr">
        <is>
          <t>for calculation</t>
        </is>
      </c>
      <c r="G38" s="120" t="n"/>
    </row>
    <row r="39">
      <c r="B39" s="121" t="inlineStr">
        <is>
          <t>月～金　C-md</t>
        </is>
      </c>
      <c r="C39" s="122">
        <f>D16*1000</f>
        <v/>
      </c>
      <c r="D39" s="122">
        <f>C39/8</f>
        <v/>
      </c>
      <c r="E39" s="121" t="inlineStr">
        <is>
          <t>/hour</t>
        </is>
      </c>
      <c r="G39" s="8" t="n"/>
      <c r="R39" s="17" t="n"/>
      <c r="T39" s="8" t="n"/>
      <c r="Z39" s="17" t="n"/>
      <c r="AA39" s="17" t="n"/>
      <c r="AB39" s="8" t="n"/>
      <c r="AC39" s="8" t="n"/>
    </row>
    <row r="40">
      <c r="B40" s="56" t="inlineStr">
        <is>
          <t>月～金　17時～22時</t>
        </is>
      </c>
      <c r="C40" s="46">
        <f>ROUNDUP(D40,-3)</f>
        <v/>
      </c>
      <c r="D40" s="46">
        <f>$D$39*E40</f>
        <v/>
      </c>
      <c r="E40" s="123" t="n">
        <v>1.25</v>
      </c>
      <c r="G40" s="8" t="n"/>
      <c r="R40" s="17" t="n"/>
      <c r="T40" s="8" t="n"/>
      <c r="Z40" s="17" t="n"/>
      <c r="AA40" s="17" t="n"/>
      <c r="AB40" s="8" t="n"/>
      <c r="AC40" s="8" t="n"/>
    </row>
    <row r="41">
      <c r="B41" s="56" t="inlineStr">
        <is>
          <t>月～金　22時以降</t>
        </is>
      </c>
      <c r="C41" s="46">
        <f>ROUNDUP(D41,-3)</f>
        <v/>
      </c>
      <c r="D41" s="46">
        <f>$D$39*E41</f>
        <v/>
      </c>
      <c r="E41" s="123" t="n">
        <v>1.5</v>
      </c>
      <c r="G41" s="8" t="n"/>
      <c r="R41" s="17" t="n"/>
      <c r="T41" s="8" t="n"/>
      <c r="Z41" s="17" t="n"/>
      <c r="AA41" s="17" t="n"/>
      <c r="AB41" s="8" t="n"/>
      <c r="AC41" s="8" t="n"/>
    </row>
    <row r="42">
      <c r="B42" s="56" t="inlineStr">
        <is>
          <t>土日、　8-17時</t>
        </is>
      </c>
      <c r="C42" s="46">
        <f>ROUNDUP(D42,-3)</f>
        <v/>
      </c>
      <c r="D42" s="46">
        <f>$D$39*E42</f>
        <v/>
      </c>
      <c r="E42" s="123" t="n">
        <v>1.5</v>
      </c>
      <c r="G42" s="8" t="n"/>
      <c r="R42" s="17" t="n"/>
      <c r="T42" s="8" t="n"/>
      <c r="Z42" s="17" t="n"/>
      <c r="AA42" s="17" t="n"/>
      <c r="AB42" s="8" t="n"/>
      <c r="AC42" s="8" t="n"/>
    </row>
    <row r="43">
      <c r="B43" s="56" t="inlineStr">
        <is>
          <t>土日、　17時～22時</t>
        </is>
      </c>
      <c r="C43" s="46">
        <f>ROUNDUP(D43,-3)</f>
        <v/>
      </c>
      <c r="D43" s="46">
        <f>$D$39*E43</f>
        <v/>
      </c>
      <c r="E43" s="123" t="n">
        <v>1.75</v>
      </c>
      <c r="G43" s="8" t="n"/>
      <c r="R43" s="17" t="n"/>
      <c r="T43" s="8" t="n"/>
      <c r="Z43" s="17" t="n"/>
      <c r="AA43" s="17" t="n"/>
      <c r="AB43" s="8" t="n"/>
      <c r="AC43" s="8" t="n"/>
    </row>
    <row r="44">
      <c r="B44" s="85" t="inlineStr">
        <is>
          <t>土日、　22時以降</t>
        </is>
      </c>
      <c r="C44" s="54">
        <f>ROUNDUP(D44,-3)</f>
        <v/>
      </c>
      <c r="D44" s="54">
        <f>$D$39*E44</f>
        <v/>
      </c>
      <c r="E44" s="124" t="n">
        <v>2</v>
      </c>
      <c r="G44" s="8" t="n"/>
      <c r="R44" s="17" t="n"/>
      <c r="T44" s="8" t="n"/>
      <c r="Z44" s="17" t="n"/>
      <c r="AA44" s="17" t="n"/>
      <c r="AB44" s="8" t="n"/>
      <c r="AC44" s="8" t="n"/>
    </row>
    <row r="45"/>
    <row r="46">
      <c r="O46" s="125" t="n"/>
    </row>
  </sheetData>
  <mergeCells count="4">
    <mergeCell ref="J30:K30"/>
    <mergeCell ref="D4:E4"/>
    <mergeCell ref="J32:K32"/>
    <mergeCell ref="J31:K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2026-06-15T05:45:24Z</dcterms:created>
  <dcterms:modified xmlns:dcterms="http://purl.org/dc/terms/" xmlns:xsi="http://www.w3.org/2001/XMLSchema-instance" xsi:type="dcterms:W3CDTF">2026-06-15T05:45:25Z</dcterms:modified>
</cp:coreProperties>
</file>